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sy\Downloads\"/>
    </mc:Choice>
  </mc:AlternateContent>
  <xr:revisionPtr revIDLastSave="0" documentId="13_ncr:1_{B0173ECB-189B-4D68-A6CC-FCED3C1E0BAC}" xr6:coauthVersionLast="47" xr6:coauthVersionMax="47" xr10:uidLastSave="{00000000-0000-0000-0000-000000000000}"/>
  <bookViews>
    <workbookView xWindow="-120" yWindow="-120" windowWidth="20730" windowHeight="11040" tabRatio="500" firstSheet="4" activeTab="5" xr2:uid="{00000000-000D-0000-FFFF-FFFF00000000}"/>
  </bookViews>
  <sheets>
    <sheet name="Resumen" sheetId="1" r:id="rId1"/>
    <sheet name="Catálogo CompanyGame" sheetId="2" r:id="rId2"/>
    <sheet name="Catálogo otros SNC" sheetId="3" r:id="rId3"/>
    <sheet name="Adm. Empresas (Presencial)" sheetId="4" r:id="rId4"/>
    <sheet name="Adm. Empresas (Virtual)" sheetId="5" r:id="rId5"/>
    <sheet name="Adm. Producción y Logística" sheetId="6" r:id="rId6"/>
    <sheet name="Adm. Negocios Sostenibles" sheetId="7" r:id="rId7"/>
    <sheet name="Contaduría Pública" sheetId="8" r:id="rId8"/>
    <sheet name="Economía" sheetId="9" r:id="rId9"/>
    <sheet name="Finanzas" sheetId="10" r:id="rId10"/>
    <sheet name="Marketing y Transf. Digital" sheetId="11" r:id="rId11"/>
    <sheet name="Negocios Internac. (Presenc.)" sheetId="12" r:id="rId12"/>
    <sheet name="Negocios Internac. (Virtual)" sheetId="13" r:id="rId1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6" l="1"/>
  <c r="M43" i="6"/>
  <c r="M30" i="6"/>
  <c r="K9" i="1" s="1"/>
  <c r="M30" i="5"/>
  <c r="L8" i="1" s="1"/>
  <c r="M43" i="5"/>
  <c r="M43" i="4"/>
  <c r="M9" i="4"/>
  <c r="M30" i="4"/>
  <c r="M66" i="13"/>
  <c r="M65" i="13"/>
  <c r="M64" i="13"/>
  <c r="M63" i="13"/>
  <c r="M62" i="13"/>
  <c r="M61" i="13"/>
  <c r="M60" i="13"/>
  <c r="M59" i="13"/>
  <c r="M58" i="13"/>
  <c r="M57" i="13"/>
  <c r="M56" i="13"/>
  <c r="M55" i="13"/>
  <c r="M54" i="13"/>
  <c r="M53" i="13"/>
  <c r="M52" i="13"/>
  <c r="M51" i="13"/>
  <c r="M50" i="13"/>
  <c r="M49" i="13"/>
  <c r="M48" i="13"/>
  <c r="M47" i="13"/>
  <c r="M46" i="13"/>
  <c r="M45" i="13"/>
  <c r="M44" i="13"/>
  <c r="M43" i="13"/>
  <c r="M42" i="13"/>
  <c r="M41" i="13"/>
  <c r="M40" i="13"/>
  <c r="M39" i="13"/>
  <c r="M38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M23" i="13"/>
  <c r="M22" i="13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M3" i="13"/>
  <c r="M68" i="1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M46" i="1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M13" i="9"/>
  <c r="M12" i="9"/>
  <c r="M11" i="9"/>
  <c r="M10" i="9"/>
  <c r="M9" i="9"/>
  <c r="M8" i="9"/>
  <c r="M7" i="9"/>
  <c r="M6" i="9"/>
  <c r="M5" i="9"/>
  <c r="M4" i="9"/>
  <c r="M3" i="9"/>
  <c r="M68" i="8"/>
  <c r="M67" i="8"/>
  <c r="M66" i="8"/>
  <c r="M65" i="8"/>
  <c r="M64" i="8"/>
  <c r="M63" i="8"/>
  <c r="M62" i="8"/>
  <c r="M61" i="8"/>
  <c r="M60" i="8"/>
  <c r="M59" i="8"/>
  <c r="M58" i="8"/>
  <c r="M57" i="8"/>
  <c r="M56" i="8"/>
  <c r="M55" i="8"/>
  <c r="M54" i="8"/>
  <c r="M53" i="8"/>
  <c r="M52" i="8"/>
  <c r="M51" i="8"/>
  <c r="M50" i="8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M5" i="7"/>
  <c r="M4" i="7"/>
  <c r="M3" i="7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2" i="6"/>
  <c r="M41" i="6"/>
  <c r="M40" i="6"/>
  <c r="M39" i="6"/>
  <c r="M38" i="6"/>
  <c r="M37" i="6"/>
  <c r="M36" i="6"/>
  <c r="M35" i="6"/>
  <c r="M34" i="6"/>
  <c r="M33" i="6"/>
  <c r="M32" i="6"/>
  <c r="M31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2" i="5"/>
  <c r="M41" i="5"/>
  <c r="M40" i="5"/>
  <c r="M39" i="5"/>
  <c r="M38" i="5"/>
  <c r="M37" i="5"/>
  <c r="M36" i="5"/>
  <c r="M35" i="5"/>
  <c r="M34" i="5"/>
  <c r="M33" i="5"/>
  <c r="M32" i="5"/>
  <c r="M31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2" i="4"/>
  <c r="M41" i="4"/>
  <c r="M40" i="4"/>
  <c r="M39" i="4"/>
  <c r="M38" i="4"/>
  <c r="M37" i="4"/>
  <c r="M36" i="4"/>
  <c r="M35" i="4"/>
  <c r="M34" i="4"/>
  <c r="M33" i="4"/>
  <c r="M32" i="4"/>
  <c r="M31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8" i="4"/>
  <c r="M7" i="4"/>
  <c r="M6" i="4"/>
  <c r="M5" i="4"/>
  <c r="M4" i="4"/>
  <c r="M3" i="4"/>
  <c r="L16" i="1"/>
  <c r="K16" i="1"/>
  <c r="M16" i="1" s="1"/>
  <c r="N16" i="1" s="1"/>
  <c r="J16" i="1"/>
  <c r="I16" i="1"/>
  <c r="F16" i="1"/>
  <c r="E16" i="1"/>
  <c r="D16" i="1"/>
  <c r="G16" i="1" s="1"/>
  <c r="C16" i="1"/>
  <c r="J15" i="1"/>
  <c r="I15" i="1"/>
  <c r="F15" i="1"/>
  <c r="E15" i="1"/>
  <c r="D15" i="1"/>
  <c r="G15" i="1" s="1"/>
  <c r="C15" i="1"/>
  <c r="L14" i="1"/>
  <c r="M14" i="1" s="1"/>
  <c r="N14" i="1" s="1"/>
  <c r="K14" i="1"/>
  <c r="J14" i="1"/>
  <c r="I14" i="1"/>
  <c r="F14" i="1"/>
  <c r="E14" i="1"/>
  <c r="D14" i="1"/>
  <c r="C14" i="1"/>
  <c r="G14" i="1" s="1"/>
  <c r="J13" i="1"/>
  <c r="I13" i="1"/>
  <c r="G13" i="1"/>
  <c r="F13" i="1"/>
  <c r="E13" i="1"/>
  <c r="D13" i="1"/>
  <c r="C13" i="1"/>
  <c r="L12" i="1"/>
  <c r="K12" i="1"/>
  <c r="M12" i="1" s="1"/>
  <c r="N12" i="1" s="1"/>
  <c r="J12" i="1"/>
  <c r="I12" i="1"/>
  <c r="F12" i="1"/>
  <c r="E12" i="1"/>
  <c r="D12" i="1"/>
  <c r="G12" i="1" s="1"/>
  <c r="C12" i="1"/>
  <c r="L11" i="1"/>
  <c r="K11" i="1"/>
  <c r="M11" i="1" s="1"/>
  <c r="N11" i="1" s="1"/>
  <c r="J11" i="1"/>
  <c r="I11" i="1"/>
  <c r="F11" i="1"/>
  <c r="E11" i="1"/>
  <c r="D11" i="1"/>
  <c r="G11" i="1" s="1"/>
  <c r="C11" i="1"/>
  <c r="L10" i="1"/>
  <c r="M10" i="1" s="1"/>
  <c r="N10" i="1" s="1"/>
  <c r="K10" i="1"/>
  <c r="J10" i="1"/>
  <c r="I10" i="1"/>
  <c r="G10" i="1"/>
  <c r="F10" i="1"/>
  <c r="E10" i="1"/>
  <c r="D10" i="1"/>
  <c r="C10" i="1"/>
  <c r="J9" i="1"/>
  <c r="I9" i="1"/>
  <c r="F9" i="1"/>
  <c r="E9" i="1"/>
  <c r="D9" i="1"/>
  <c r="C9" i="1"/>
  <c r="J8" i="1"/>
  <c r="I8" i="1"/>
  <c r="F8" i="1"/>
  <c r="E8" i="1"/>
  <c r="D8" i="1"/>
  <c r="G8" i="1" s="1"/>
  <c r="C8" i="1"/>
  <c r="J7" i="1"/>
  <c r="I7" i="1"/>
  <c r="F7" i="1"/>
  <c r="E7" i="1"/>
  <c r="D7" i="1"/>
  <c r="C7" i="1"/>
  <c r="M66" i="12"/>
  <c r="M65" i="12"/>
  <c r="M64" i="12"/>
  <c r="M63" i="12"/>
  <c r="M62" i="12"/>
  <c r="M61" i="12"/>
  <c r="M60" i="12"/>
  <c r="M59" i="12"/>
  <c r="M58" i="12"/>
  <c r="M57" i="12"/>
  <c r="M56" i="12"/>
  <c r="M55" i="12"/>
  <c r="M54" i="12"/>
  <c r="M53" i="12"/>
  <c r="M52" i="12"/>
  <c r="M51" i="12"/>
  <c r="M50" i="12"/>
  <c r="M49" i="12"/>
  <c r="M48" i="12"/>
  <c r="M47" i="12"/>
  <c r="M46" i="12"/>
  <c r="M45" i="12"/>
  <c r="M44" i="12"/>
  <c r="M43" i="12"/>
  <c r="M42" i="12"/>
  <c r="M41" i="12"/>
  <c r="M40" i="12"/>
  <c r="M39" i="12"/>
  <c r="M38" i="12"/>
  <c r="M37" i="12"/>
  <c r="M36" i="12"/>
  <c r="M35" i="12"/>
  <c r="M34" i="12"/>
  <c r="M33" i="12"/>
  <c r="M32" i="12"/>
  <c r="M31" i="12"/>
  <c r="M30" i="12"/>
  <c r="M29" i="12"/>
  <c r="M28" i="12"/>
  <c r="M27" i="12"/>
  <c r="M26" i="12"/>
  <c r="M25" i="12"/>
  <c r="M24" i="12"/>
  <c r="M23" i="12"/>
  <c r="M22" i="12"/>
  <c r="M21" i="12"/>
  <c r="M20" i="12"/>
  <c r="M19" i="12"/>
  <c r="M18" i="12"/>
  <c r="M17" i="12"/>
  <c r="M16" i="12"/>
  <c r="M15" i="12"/>
  <c r="M14" i="12"/>
  <c r="M13" i="12"/>
  <c r="M12" i="12"/>
  <c r="M11" i="12"/>
  <c r="M10" i="12"/>
  <c r="M9" i="12"/>
  <c r="M8" i="12"/>
  <c r="M7" i="12"/>
  <c r="M6" i="12"/>
  <c r="M5" i="12"/>
  <c r="M4" i="12"/>
  <c r="M3" i="12"/>
  <c r="L15" i="1" s="1"/>
  <c r="L9" i="1" l="1"/>
  <c r="M9" i="1" s="1"/>
  <c r="N9" i="1" s="1"/>
  <c r="K8" i="1"/>
  <c r="M8" i="1" s="1"/>
  <c r="N8" i="1" s="1"/>
  <c r="L13" i="1"/>
  <c r="K13" i="1"/>
  <c r="M13" i="1" s="1"/>
  <c r="N13" i="1" s="1"/>
  <c r="G9" i="1"/>
  <c r="F17" i="1"/>
  <c r="E17" i="1"/>
  <c r="C17" i="1"/>
  <c r="J17" i="1"/>
  <c r="I17" i="1"/>
  <c r="G7" i="1"/>
  <c r="K7" i="1"/>
  <c r="L7" i="1"/>
  <c r="K15" i="1"/>
  <c r="M15" i="1" s="1"/>
  <c r="N15" i="1" s="1"/>
  <c r="D17" i="1"/>
  <c r="G17" i="1" l="1"/>
  <c r="L17" i="1"/>
  <c r="M7" i="1"/>
  <c r="N7" i="1" s="1"/>
  <c r="K17" i="1"/>
  <c r="M17" i="1" l="1"/>
  <c r="N17" i="1" s="1"/>
</calcChain>
</file>

<file path=xl/sharedStrings.xml><?xml version="1.0" encoding="utf-8"?>
<sst xmlns="http://schemas.openxmlformats.org/spreadsheetml/2006/main" count="5786" uniqueCount="472">
  <si>
    <t>Negocios Internacionales · Presencial</t>
  </si>
  <si>
    <t>Semestre</t>
  </si>
  <si>
    <t>Materia</t>
  </si>
  <si>
    <t>Área temática</t>
  </si>
  <si>
    <t>Simulador CompanyGame que encaja</t>
  </si>
  <si>
    <t>Nivel CG</t>
  </si>
  <si>
    <t>Grado de ajuste</t>
  </si>
  <si>
    <t>Tipo de simulador a desarrollar (si no encaja / parcial)</t>
  </si>
  <si>
    <t>Observación</t>
  </si>
  <si>
    <t>Otro simulador SNC que encaja</t>
  </si>
  <si>
    <t>Nivel sugerido</t>
  </si>
  <si>
    <t>Grado de ajuste (otro SNC)</t>
  </si>
  <si>
    <t>Observación / uso sugerido (otro SNC)</t>
  </si>
  <si>
    <t>Cobertura combinada (CG + otro SNC)</t>
  </si>
  <si>
    <t>Contabilidad General</t>
  </si>
  <si>
    <t>Contabilidad</t>
  </si>
  <si>
    <t>ContaTrainer</t>
  </si>
  <si>
    <t>N1-2</t>
  </si>
  <si>
    <t>Encaje perfecto</t>
  </si>
  <si>
    <t>—</t>
  </si>
  <si>
    <t>Principios de Administración y Organizaciones</t>
  </si>
  <si>
    <t>Administración</t>
  </si>
  <si>
    <t>T-Shirt</t>
  </si>
  <si>
    <t>Principios de Economía</t>
  </si>
  <si>
    <t>Formación general / sin equivalente en el catálogo</t>
  </si>
  <si>
    <t>No encaja</t>
  </si>
  <si>
    <t>Fundamentos de las Finanzas Empresariales</t>
  </si>
  <si>
    <t>Finanzas</t>
  </si>
  <si>
    <t>Logística Internacional</t>
  </si>
  <si>
    <t>Teoría de los Negocios Internacionales</t>
  </si>
  <si>
    <t>Internacional</t>
  </si>
  <si>
    <t>Sunny Day</t>
  </si>
  <si>
    <t>Fundamentos de Marketing y Transformación Digital</t>
  </si>
  <si>
    <t>Marketing</t>
  </si>
  <si>
    <t>CoffeeTime</t>
  </si>
  <si>
    <t>Responsabilidad Social Empresarial</t>
  </si>
  <si>
    <t>Sostenibilidad</t>
  </si>
  <si>
    <t>Pensamiento Crítico y Comunicación Efectiva</t>
  </si>
  <si>
    <t>Contabilidad de Costos</t>
  </si>
  <si>
    <t>Procesos Administrativos</t>
  </si>
  <si>
    <t>Energy&amp;Co</t>
  </si>
  <si>
    <t>Medición Económica</t>
  </si>
  <si>
    <t>Matemáticas Financieras</t>
  </si>
  <si>
    <t>Dinámicas de Cadenas de Valor Globales</t>
  </si>
  <si>
    <t>Geopolítica</t>
  </si>
  <si>
    <t>Investigación de Mercados</t>
  </si>
  <si>
    <t>Sostenibilidad y Empresa</t>
  </si>
  <si>
    <t>Estadística Empresarial y Digital</t>
  </si>
  <si>
    <t>Negocios en América</t>
  </si>
  <si>
    <t>Negocios regionales (teoría)</t>
  </si>
  <si>
    <t>Derecho Comercial</t>
  </si>
  <si>
    <t>Jurídica</t>
  </si>
  <si>
    <t>Negociación Intercultural</t>
  </si>
  <si>
    <t>Negociación / Cultura</t>
  </si>
  <si>
    <t>Gestión de la Información y Herramientas Digitales</t>
  </si>
  <si>
    <t>Idiomas I</t>
  </si>
  <si>
    <t>Idiomas</t>
  </si>
  <si>
    <t>Taller de Negociación y Argumentación</t>
  </si>
  <si>
    <t>Electiva I</t>
  </si>
  <si>
    <t>Electiva</t>
  </si>
  <si>
    <t>Contenido variable según la línea elegida; evaluar caso a caso</t>
  </si>
  <si>
    <t>Electiva II</t>
  </si>
  <si>
    <t>Business in Europe</t>
  </si>
  <si>
    <t>Gestión de Importaciones y Exportaciones</t>
  </si>
  <si>
    <t>Avocado Expand</t>
  </si>
  <si>
    <t>N3-4</t>
  </si>
  <si>
    <t>Estrategias de Internacionalización de los Negocios</t>
  </si>
  <si>
    <t>Inter Pyme</t>
  </si>
  <si>
    <t>Instituciones Políticas y Competencias Ciudadanas</t>
  </si>
  <si>
    <t>Idiomas II</t>
  </si>
  <si>
    <t>Bioética y Toma de Decisiones Gerenciales</t>
  </si>
  <si>
    <t>Electiva III</t>
  </si>
  <si>
    <t>Business in Asia Pacific Region</t>
  </si>
  <si>
    <t>Simulación de Costos, Precios y Cotizaciones</t>
  </si>
  <si>
    <t>Corbatul</t>
  </si>
  <si>
    <t>Gestión Portuaria y del Transporte</t>
  </si>
  <si>
    <t>Logística (teoría)</t>
  </si>
  <si>
    <t>International Marketing</t>
  </si>
  <si>
    <t>GlobalMarket</t>
  </si>
  <si>
    <t>N6-7</t>
  </si>
  <si>
    <t>Formulación y Evaluación de Proyectos</t>
  </si>
  <si>
    <t>Finanzas/Proyectos</t>
  </si>
  <si>
    <t>Simulador de evaluación financiera de proyectos (VPN, TIR, flujo de caja proyectado)</t>
  </si>
  <si>
    <t>SimProject</t>
  </si>
  <si>
    <t>Intermedio–Avanzado (≈N3-5)</t>
  </si>
  <si>
    <t>Encaje parcial</t>
  </si>
  <si>
    <t>Cubre planificación y control del proyecto (alcance, cronograma, recursos, presupuesto, riesgos); no cubre la evaluación financiera (VPN, TIR) — ver col. G.</t>
  </si>
  <si>
    <t>Derecho Internacional de los Negocios</t>
  </si>
  <si>
    <t>Idiomas III</t>
  </si>
  <si>
    <t>Emprendimiento y Creación de Empresa</t>
  </si>
  <si>
    <t>Emprendimiento</t>
  </si>
  <si>
    <t>Fitness Gym</t>
  </si>
  <si>
    <t>Electiva IV</t>
  </si>
  <si>
    <t>Business in Africa and Emerging Markets</t>
  </si>
  <si>
    <t>Simulación de Estrategia de Negocios</t>
  </si>
  <si>
    <t>Estrategia</t>
  </si>
  <si>
    <t>SimVenture Evolution</t>
  </si>
  <si>
    <t>Intro–Intermedio (≈N1-4)</t>
  </si>
  <si>
    <t>Materia de simulación por nombre: Evolution permite dirigir una empresa hasta 10 años simulados (40 trimestres). Enfoque pyme/emprendimiento, sin dimensión internacional.</t>
  </si>
  <si>
    <t>Public Relations</t>
  </si>
  <si>
    <t>Comunicaciones</t>
  </si>
  <si>
    <t>Emprendimiento Global</t>
  </si>
  <si>
    <t>SimVenture Validate</t>
  </si>
  <si>
    <t>Intro (≈N1-2)</t>
  </si>
  <si>
    <t>Cubre diseño y validación del modelo de negocio; la dimensión internacional debe trabajarse aparte (p. ej. con Inter Pyme / Avocado Expand de CG).</t>
  </si>
  <si>
    <t>International Finance</t>
  </si>
  <si>
    <t>BankCompany</t>
  </si>
  <si>
    <t>Habilidades de Dirección y Ejecución Gerencial</t>
  </si>
  <si>
    <t>Gerencia</t>
  </si>
  <si>
    <t>Business Global</t>
  </si>
  <si>
    <t>N5</t>
  </si>
  <si>
    <t>Idiomas IV</t>
  </si>
  <si>
    <t>Análisis de Coyuntura y Problemas Contemporáneos</t>
  </si>
  <si>
    <t>Seminario Trabajo de Grado</t>
  </si>
  <si>
    <t>Electiva V</t>
  </si>
  <si>
    <t>Práctica Empresarial I</t>
  </si>
  <si>
    <t>Práctica Empresarial II</t>
  </si>
  <si>
    <t>Práctica Social y Bioética</t>
  </si>
  <si>
    <t>Énfasis I</t>
  </si>
  <si>
    <t>Énfasis (electivo)</t>
  </si>
  <si>
    <t>Contenido variable según el énfasis elegido; evaluar caso a caso</t>
  </si>
  <si>
    <t>Énfasis II</t>
  </si>
  <si>
    <t>Énfasis III</t>
  </si>
  <si>
    <t>Énfasis IV</t>
  </si>
  <si>
    <t>Énfasis V</t>
  </si>
  <si>
    <t>Énfasis VI</t>
  </si>
  <si>
    <t>Énfasis VII</t>
  </si>
  <si>
    <t>Trabajo de Grado</t>
  </si>
  <si>
    <t>Electiva VI</t>
  </si>
  <si>
    <t>Relación materias – simuladores CompanyGame</t>
  </si>
  <si>
    <t>Universidad El Bosque · Facultad de Ciencias Económicas y Administrativas (FCEA) · Bogotá</t>
  </si>
  <si>
    <t>Análisis del plan de estudios de 10 programas/mallas frente al catálogo completo de simuladores CompanyGame</t>
  </si>
  <si>
    <t>Ampliación: CompanyGame + otros simuladores SNC</t>
  </si>
  <si>
    <t>Programa</t>
  </si>
  <si>
    <t>N.º de materias</t>
  </si>
  <si>
    <t>No encaja / a desarrollar</t>
  </si>
  <si>
    <t>% con simulador CG</t>
  </si>
  <si>
    <t>Materias con otro SNC (perfecto)</t>
  </si>
  <si>
    <t>Materias con otro SNC (parcial)</t>
  </si>
  <si>
    <t>Combinado: encaje perfecto</t>
  </si>
  <si>
    <t>Combinado: encaje parcial</t>
  </si>
  <si>
    <t>% con simulador (CG + SNC)</t>
  </si>
  <si>
    <t>Mejora vs. solo CG (p.p.)</t>
  </si>
  <si>
    <t>Administración de Empresas (Presencial)</t>
  </si>
  <si>
    <t>Administración de Empresas (Virtual)</t>
  </si>
  <si>
    <t>Administración de Producción y Logística Internacional</t>
  </si>
  <si>
    <t>Administración de Negocios Sostenibles (Virtual)</t>
  </si>
  <si>
    <t>Contaduría Pública</t>
  </si>
  <si>
    <t>Economía</t>
  </si>
  <si>
    <t>Marketing y Transformación Digital</t>
  </si>
  <si>
    <t>Negocios Internacionales (Presencial)</t>
  </si>
  <si>
    <t>Negocios Internacionales (Virtual)</t>
  </si>
  <si>
    <t>TOTAL</t>
  </si>
  <si>
    <t>Convención de la columna 'Grado de ajuste':</t>
  </si>
  <si>
    <t>Un simulador CompanyGame cubre directamente la materia</t>
  </si>
  <si>
    <t>Un simulador CG cubre parte de la materia; se sugiere complementar/desarrollar</t>
  </si>
  <si>
    <t>Ningún simulador CG aplica; se propone el tipo de simulador a desarrollar</t>
  </si>
  <si>
    <t>Notas metodológicas</t>
  </si>
  <si>
    <t>· Mallas tomadas de los 10 PDF 'Plan de estudios' oficiales de la Facultad de Ciencias Económicas y</t>
  </si>
  <si>
    <t xml:space="preserve">  Administrativas (FCEA) de la Universidad El Bosque, entregados por Paula: Administración de Empresas</t>
  </si>
  <si>
    <t xml:space="preserve">  (Presencial y Virtual), Administración de Producción y Logística Internacional, Administración de</t>
  </si>
  <si>
    <t xml:space="preserve">  Negocios Sostenibles (Virtual), Contaduría Pública, Economía, Finanzas, Marketing y Transformación</t>
  </si>
  <si>
    <t xml:space="preserve">  Digital, y Negocios Internacionales (Presencial y Virtual).</t>
  </si>
  <si>
    <t>· Los 10 programas comparten un mismo modelo curricular de 8 semestres / 144 créditos, con 3 bloques:</t>
  </si>
  <si>
    <t xml:space="preserve">  Ciclo de Fundamentación (semestres I-II, IDÉNTICO en los 10 programas: Contabilidad General/de</t>
  </si>
  <si>
    <t xml:space="preserve">  Costos, Principios de Administración/Procesos Administrativos, Principios de Economía/Medición</t>
  </si>
  <si>
    <t xml:space="preserve">  Económica, Fundamentos de las Finanzas/Matemáticas Financieras, Logística Internacional/Dinámicas de</t>
  </si>
  <si>
    <t xml:space="preserve">  Cadenas de Valor Globales, Teoría de los Negocios Internacionales/Geopolítica, Fundamentos de</t>
  </si>
  <si>
    <t xml:space="preserve">  Marketing/Investigación de Mercados, Responsabilidad Social/Sostenibilidad y Empresa), Ciclo de</t>
  </si>
  <si>
    <t xml:space="preserve">  Inmersión Disciplinar (semestres III-VI, con un tronco transversal también idéntico -Idiomas I-IV,</t>
  </si>
  <si>
    <t xml:space="preserve">  Gestión de la Información, Instituciones Políticas, Derecho Internacional de los Negocios, Habilidades</t>
  </si>
  <si>
    <t xml:space="preserve">  de Dirección, Taller de Negociación, Bioética, Emprendimiento, Análisis de Coyuntura, Seminario de</t>
  </si>
  <si>
    <t xml:space="preserve">  Trabajo de Grado, Electivas I-V- más un bloque 'DISCIPLINARES' propio de cada programa que profundiza</t>
  </si>
  <si>
    <t xml:space="preserve">  su área de énfasis), y Ciclo Profesionalizante (semestre VII: Práctica Empresarial I/II y Práctica</t>
  </si>
  <si>
    <t xml:space="preserve">  Social y Bioética; semestre VIII: 7 bloques de ÉNFASIS + Trabajo de Grado + Electiva VI, de contenido</t>
  </si>
  <si>
    <t xml:space="preserve">  variable según el estudiante y no evaluables en este mapeo).</t>
  </si>
  <si>
    <t>· El PDF es una grilla visual (Área de Conocimiento x Semestre), no una lista de texto plano: la</t>
  </si>
  <si>
    <t xml:space="preserve">  posición semestral de cada materia del bloque disciplinar propio de cada programa (semestres III-VI)</t>
  </si>
  <si>
    <t xml:space="preserve">  se reconstruyó columna por columna a partir de esa grilla; puede existir alguna imprecisión puntual de</t>
  </si>
  <si>
    <t xml:space="preserve">  +/-1 semestre en materias de relleno, sin que esto afecte el grado de ajuste (que se decide por</t>
  </si>
  <si>
    <t xml:space="preserve">  contenido) ni el nivel de simulador sugerido (que se basa en la mitad del programa -I-IV vs. V-VIII-</t>
  </si>
  <si>
    <t xml:space="preserve">  más que en el número exacto de semestre).</t>
  </si>
  <si>
    <t>· Administración de Empresas (Presencial y Virtual) y Negocios Internacionales (Presencial y Virtual)</t>
  </si>
  <si>
    <t xml:space="preserve">  comparten exactamente la misma malla disciplinar entre sus 2 modalidades (solo cambia la modalidad),</t>
  </si>
  <si>
    <t xml:space="preserve">  por lo que su resultado es idéntico entre ambas versiones -tal como ocurrió con Administración de</t>
  </si>
  <si>
    <t xml:space="preserve">  Negocios en el mapeo de Universidad del Quindío-.</t>
  </si>
  <si>
    <t>· Se aplicó la misma lógica de asignación usada en el proyecto desde Universidad del Atlántico en</t>
  </si>
  <si>
    <t xml:space="preserve">  adelante: (1) el nivel del simulador sugerido corresponde a la mitad del programa en que se ve la</t>
  </si>
  <si>
    <t xml:space="preserve">  materia -sin simuladores N6-7 (Postgrado/Executive) en el Ciclo de Fundamentación o el primer tramo del</t>
  </si>
  <si>
    <t xml:space="preserve">  Ciclo Disciplinar-; y (2) dentro de cada programa no se repite un mismo simulador en más de una</t>
  </si>
  <si>
    <t xml:space="preserve">  materia, prefiriendo 'No encaja' cuando el catálogo no alcanzaba para dar variedad real. Se usó el</t>
  </si>
  <si>
    <t xml:space="preserve">  catálogo COMPLETO de CompanyGame (41 simuladores, 8 categorías; ver hoja 'Catálogo CompanyGame').</t>
  </si>
  <si>
    <t>· Negocios Internacionales (ambas modalidades, 25.0%) y Marketing y Transformación Digital (28.8%) son</t>
  </si>
  <si>
    <t xml:space="preserve">  los programas de mejor cobertura: tienen varias materias con 'Simulación' en el propio nombre</t>
  </si>
  <si>
    <t xml:space="preserve">  (Simulación de Costos Precios y Cotizaciones, Simulación de Estrategia de Negocios, Juego Gerencial)</t>
  </si>
  <si>
    <t xml:space="preserve">  que encajan de forma casi literal con Corbatul, Business Strategy y Business21 respectivamente, además</t>
  </si>
  <si>
    <t xml:space="preserve">  de aprovechar Avocado Expand, Inter Pyme, GlobalMarket y BankCompany para su contenido de comercio</t>
  </si>
  <si>
    <t xml:space="preserve">  internacional/marketing global.</t>
  </si>
  <si>
    <t>· Contaduría Pública (16.7%) y Economía (16.9%) son, igual que en todos los mapeos previos del</t>
  </si>
  <si>
    <t xml:space="preserve">  proyecto, los programas de menor cobertura: el núcleo técnico-normativo de Contaduría (Tributaria I-</t>
  </si>
  <si>
    <t xml:space="preserve">  II, Revisoría Fiscal, Derecho Aduanero y Fiscal, los 6 cursos 'International...' de homologación IFRS/</t>
  </si>
  <si>
    <t xml:space="preserve">  auditoría) y el fuerte componente cuantitativo-teórico de Economía (Microeconomía/Macroeconomía I-IV,</t>
  </si>
  <si>
    <t xml:space="preserve">  Econometrics I-II, Cálculo, Sistemas Lineales, Métodos Matemáticos) no tienen equivalente en un</t>
  </si>
  <si>
    <t xml:space="preserve">  catálogo de simuladores de gestión empresarial.</t>
  </si>
  <si>
    <t>· Finanzas (21.2%) usa las 6 referencias completas de Finanzas y Banca (ContaTrainer, Advisor Jr.,</t>
  </si>
  <si>
    <t xml:space="preserve">  Corbatul, Trading, Bankgame, BankCompany) en 6 materias financieras distintas -el mismo patrón ya visto</t>
  </si>
  <si>
    <t xml:space="preserve">  en Administración Financiera de Universidad del Quindío-.</t>
  </si>
  <si>
    <t>· Niveles CG: N1-2 Intro · N3-4 Avanzado · N5 Graduate · N6-7 Postgrado/Executive.</t>
  </si>
  <si>
    <t>· Catálogo de simuladores tomado de companygame.com (8 categorías; ver hoja 'Catálogo CompanyGame'), el</t>
  </si>
  <si>
    <t xml:space="preserve">  mismo cuadro de referencia usado en todos los mapeos anteriores del proyecto (Universidad del Valle,</t>
  </si>
  <si>
    <t xml:space="preserve">  Corporación Universitaria Americana, CUC, Universidad Simón Bolívar, Universidad del Norte, Universidad</t>
  </si>
  <si>
    <t xml:space="preserve">  del Atlántico, Universidad de Barranquilla, Universidad Libre - Barranquilla, Fundación Universitaria</t>
  </si>
  <si>
    <t xml:space="preserve">  del Área Andina y Universidad del Quindío).</t>
  </si>
  <si>
    <t>Ampliación con otros simuladores de SNC (octubre 2026)</t>
  </si>
  <si>
    <t>· Se agregó un bloque nuevo (columnas I–M en cada hoja de programa e I–N en este resumen) con los demás</t>
  </si>
  <si>
    <t xml:space="preserve">  simuladores de Simuladores de Negocios Colombia: SimVenture Evolution, SimVenture Validate, SimProject,</t>
  </si>
  <si>
    <t xml:space="preserve">  SimAgile y los nuevos desarrollos Auditek y RentaSim (ver hoja 'Catálogo otros SNC'). Las columnas A–H</t>
  </si>
  <si>
    <t xml:space="preserve">  originales (mapeo CompanyGame, grados de ajuste y recomendaciones) no se modificaron.</t>
  </si>
  <si>
    <t>· 'Cobertura combinada' toma el mejor grado entre CG (col. F) y el otro SNC (col. K) para cada materia.</t>
  </si>
  <si>
    <t>· Se mantuvo la regla del proyecto: un mismo simulador no se repite en más de una materia por programa;</t>
  </si>
  <si>
    <t xml:space="preserve">  se priorizaron materias sin encaje CG y, cuando no había, se usó como complemento (p. ej. Validate en</t>
  </si>
  <si>
    <t xml:space="preserve">  Emprendimiento junto a Fitness Gym). En Project Management se proponen SimProject + SimAgile juntos</t>
  </si>
  <si>
    <t xml:space="preserve">  (enfoque predictivo y ágil).</t>
  </si>
  <si>
    <t>· Auditek y RentaSim se ubicaron donde ya estaban anotados en Contaduría (Revisoría Fiscal y Tributaria I),</t>
  </si>
  <si>
    <t xml:space="preserve">  y RentaSim además en Planeación Fiscal (Finanzas). No tienen ficha pública: su alcance y nivel se</t>
  </si>
  <si>
    <t xml:space="preserve">  asumieron por el nombre y deben validarse con SNC antes de presentar el documento.</t>
  </si>
  <si>
    <t>· Economía sigue siendo el programa con menor cobertura: su núcleo cuantitativo-teórico no tiene</t>
  </si>
  <si>
    <t xml:space="preserve">  equivalente tampoco en los simuladores adicionales.</t>
  </si>
  <si>
    <t>Catálogo CompanyGame</t>
  </si>
  <si>
    <t>41 simuladores en 8 categorías (companygame.com)</t>
  </si>
  <si>
    <t>Categoría</t>
  </si>
  <si>
    <t>Simulador</t>
  </si>
  <si>
    <t>Nivel</t>
  </si>
  <si>
    <t>Descripción</t>
  </si>
  <si>
    <t>Negocios y Estrategia</t>
  </si>
  <si>
    <t>Introducción a la gestión empresarial (sector textil)</t>
  </si>
  <si>
    <t>Introducción a la gestión; visión global (bebidas/consumo)</t>
  </si>
  <si>
    <t>Introducción a la gestión empresarial (sector energético)</t>
  </si>
  <si>
    <t>Business21</t>
  </si>
  <si>
    <t>Dirección general intermedia; visión integral</t>
  </si>
  <si>
    <t>Dirección general avanzada; simulación gerencial integral</t>
  </si>
  <si>
    <t>Business Strategy</t>
  </si>
  <si>
    <t>Estrategia empresarial (executive/posgrado)</t>
  </si>
  <si>
    <t>Marketing y Ventas</t>
  </si>
  <si>
    <t>MarketGame</t>
  </si>
  <si>
    <t>Introducción al marketing y decisiones comerciales</t>
  </si>
  <si>
    <t>Coffee Time</t>
  </si>
  <si>
    <t>Marketing y retail (sector cafetería)</t>
  </si>
  <si>
    <t>Food Company</t>
  </si>
  <si>
    <t>Marketing estratégico sector alimentos</t>
  </si>
  <si>
    <t>SalesManager</t>
  </si>
  <si>
    <t>Gestión de la fuerza de ventas</t>
  </si>
  <si>
    <t>TechCompany</t>
  </si>
  <si>
    <t>Marketing sector tecnológico</t>
  </si>
  <si>
    <t>FOCUS</t>
  </si>
  <si>
    <t>Investigación de mercados y marketing estratégico</t>
  </si>
  <si>
    <t>Marketing global (executive)</t>
  </si>
  <si>
    <t>Finanzas y Banca</t>
  </si>
  <si>
    <t>Apuntes y registros contables; contabilidad básica</t>
  </si>
  <si>
    <t>Advisor Jr.</t>
  </si>
  <si>
    <t>N1-2 / N3-4</t>
  </si>
  <si>
    <t>Asesoría financiera y productos financieros</t>
  </si>
  <si>
    <t>Gestión financiera empresarial</t>
  </si>
  <si>
    <t>Trading (Real Market Stocks)</t>
  </si>
  <si>
    <t>Bolsa y mercados de capitales (acciones reales)</t>
  </si>
  <si>
    <t>Bankgame</t>
  </si>
  <si>
    <t>Gestión de oficina bancaria</t>
  </si>
  <si>
    <t>Estrategia y dirección bancaria (executive)</t>
  </si>
  <si>
    <t>Plan de negocio / creación de empresa (gimnasio)</t>
  </si>
  <si>
    <t>Luxe Atelier</t>
  </si>
  <si>
    <t>Emprendimiento (taller de moda)</t>
  </si>
  <si>
    <t>Business Chef</t>
  </si>
  <si>
    <t>Emprendimiento y gestión de restaurante</t>
  </si>
  <si>
    <t>Fitness Gym Executive</t>
  </si>
  <si>
    <t>Emprendimiento avanzado y gestión de proyecto</t>
  </si>
  <si>
    <t>Business Transformation</t>
  </si>
  <si>
    <t>InnovaTech</t>
  </si>
  <si>
    <t>Innovación y transformación digital</t>
  </si>
  <si>
    <t>Internacionalización de pymes</t>
  </si>
  <si>
    <t>Internacionalización / expansión exportadora</t>
  </si>
  <si>
    <t>Transforma</t>
  </si>
  <si>
    <t>Transformación empresarial</t>
  </si>
  <si>
    <t>Business Advance</t>
  </si>
  <si>
    <t>Negocio digital / e-commerce</t>
  </si>
  <si>
    <t>Global 2020</t>
  </si>
  <si>
    <t>Globalización y dirección global</t>
  </si>
  <si>
    <t>Global 2030</t>
  </si>
  <si>
    <t>Globalización con enfoque de sostenibilidad</t>
  </si>
  <si>
    <t>HORECA / Hospitalidad y Servicios</t>
  </si>
  <si>
    <t>Hotel Game</t>
  </si>
  <si>
    <t>Introducción a la gestión hotelera</t>
  </si>
  <si>
    <t>Hotel Virtual</t>
  </si>
  <si>
    <t>Operación hotelera</t>
  </si>
  <si>
    <t>Casa Guadalupe</t>
  </si>
  <si>
    <t>Restauración y hospitalidad (F&amp;B)</t>
  </si>
  <si>
    <t>Five Stars</t>
  </si>
  <si>
    <t>Gestión hotelera avanzada / servicio</t>
  </si>
  <si>
    <t>Innova Hotel</t>
  </si>
  <si>
    <t>Innovación hotelera</t>
  </si>
  <si>
    <t>Hotel Company</t>
  </si>
  <si>
    <t>Dirección hotelera (executive)</t>
  </si>
  <si>
    <t>ESG Management</t>
  </si>
  <si>
    <t>Sweet Berries</t>
  </si>
  <si>
    <t>Negocio sostenible introductorio (agro)</t>
  </si>
  <si>
    <t>ESG Project</t>
  </si>
  <si>
    <t>Proyectos ESG / sostenibilidad</t>
  </si>
  <si>
    <t>Gestión empresarial basada en sostenibilidad</t>
  </si>
  <si>
    <t>Global Management</t>
  </si>
  <si>
    <t>Dirección global sostenible</t>
  </si>
  <si>
    <t>Operaciones</t>
  </si>
  <si>
    <t>Milk Factory</t>
  </si>
  <si>
    <t>Gestión de operaciones y producción (planta láctea)</t>
  </si>
  <si>
    <t>Otros simuladores de Simuladores de Negocios Colombia (SNC)</t>
  </si>
  <si>
    <t>Complementan el catálogo CompanyGame. Nivel expresado como equivalencia aproximada a la escala CG (N1-2 Intro · N3-4 Avanzado · N5 Graduate · N6-7 Postgrado/Executive).</t>
  </si>
  <si>
    <t>Línea / proveedor</t>
  </si>
  <si>
    <t>Materias típicas donde encaja</t>
  </si>
  <si>
    <t>Estado de la información</t>
  </si>
  <si>
    <t>SimVenture</t>
  </si>
  <si>
    <t>Simulador de gestión integral de una pequeña empresa: el estudiante dirige el negocio hasta 10 años simulados (40 trimestres) con decisiones en ventas y marketing, finanzas, operaciones, I+D y organización. Trata el tiempo del emprendedor como recurso escaso junto al capital.</t>
  </si>
  <si>
    <t>Emprendimiento, fundamentos de administración/finanzas, gestión empresarial integral, cursos de simulación gerencial.</t>
  </si>
  <si>
    <t>Información pública (simventure.com)</t>
  </si>
  <si>
    <t>Plataforma para idear, mapear, testear y presentar ideas de negocio: Business Model Canvas con componente de sostenibilidad + metodología lean startup para validar supuestos; incluye 8 casos reales y portafolio digital.</t>
  </si>
  <si>
    <t>Emprendimiento, innovación/creatividad, modelos de negocio (incl. sostenibles), design thinking.</t>
  </si>
  <si>
    <t>Simulation Powered Learning</t>
  </si>
  <si>
    <t>El estudiante asume el rol de gerente de proyecto: planifica y ejecuta un proyecto gestionando alcance, cronograma, asignación de personal, presupuesto y riesgos; alineado a PMBOK.</t>
  </si>
  <si>
    <t>Project Management, gerencia de proyectos, formulación de proyectos (fase de planificación).</t>
  </si>
  <si>
    <t>Información pública (simulationpl.com)</t>
  </si>
  <si>
    <t>SimAgile</t>
  </si>
  <si>
    <t>El estudiante asume el rol de Scrum Master: gestiona backlog, sprints y equipo, y observa el efecto de sus decisiones en la velocidad y el valor entregado.</t>
  </si>
  <si>
    <t>Gestión ágil, Project Management (enfoque ágil), transformación digital, desarrollo de producto.</t>
  </si>
  <si>
    <t>SNC – nuevo desarrollo</t>
  </si>
  <si>
    <t>Auditek</t>
  </si>
  <si>
    <t>Por confirmar (nuevo desarrollo)</t>
  </si>
  <si>
    <t>Simulador de auditoría / revisoría fiscal (nuevo desarrollo de SNC). Supuesto de trabajo: simula un encargo de auditoría (planeación, evaluación de control interno, pruebas, hallazgos y dictamen).</t>
  </si>
  <si>
    <t>Revisoría Fiscal, Auditoría financiera, Control interno.</t>
  </si>
  <si>
    <t>Sin ficha pública — validar alcance y nivel con SNC</t>
  </si>
  <si>
    <t>RentaSim</t>
  </si>
  <si>
    <t>Simulador tributario (nuevo desarrollo de SNC). Supuesto de trabajo: simula la depuración y declaración del impuesto de renta en Colombia.</t>
  </si>
  <si>
    <t>Tributaria I/II, Fundamentos de Derecho Tributario, Planeación Fiscal.</t>
  </si>
  <si>
    <t>Administración de Empresas · Presencial</t>
  </si>
  <si>
    <t>Microeconomía</t>
  </si>
  <si>
    <t>Programación Dinámica Empresarial</t>
  </si>
  <si>
    <t>Macroeconomía</t>
  </si>
  <si>
    <t>Derecho Laboral y Gestión de Riesgos Organizacionales</t>
  </si>
  <si>
    <t>Modelos Organizacionales y Empresariales I</t>
  </si>
  <si>
    <t>Cubre el componente de modelos de negocio (Business Model Canvas + validación lean). No cubre estructuras ni diseño organizacional. Validate también sirve como complemento en Emprendimiento y Creación de Empresa.</t>
  </si>
  <si>
    <t>Total Quality Management and Innovation</t>
  </si>
  <si>
    <t>Innovación</t>
  </si>
  <si>
    <t>Economía Colombiana</t>
  </si>
  <si>
    <t>Finanzas Corporativas</t>
  </si>
  <si>
    <t>Modelos Organizacionales y Empresariales II</t>
  </si>
  <si>
    <t>Production Management</t>
  </si>
  <si>
    <t>International Economy</t>
  </si>
  <si>
    <t>Finanzas Públicas</t>
  </si>
  <si>
    <t>Finanzas Públicas / Presupuesto</t>
  </si>
  <si>
    <t>Strategic Planning and Managerial Prospective</t>
  </si>
  <si>
    <t>Advanced Digital Processing</t>
  </si>
  <si>
    <t>Digital</t>
  </si>
  <si>
    <t>Teoria y Juegos Gerenciales</t>
  </si>
  <si>
    <t>Administración Pública</t>
  </si>
  <si>
    <t>Project Management</t>
  </si>
  <si>
    <t>SimProject + SimAgile</t>
  </si>
  <si>
    <t>SimProject: rol de gerente de proyecto (alcance, cronograma, asignación de personal, presupuesto, riesgos; alineado a PMBOK). SimAgile: rol de Scrum Master (backlog, sprints, velocidad del equipo). Juntos cubren el enfoque predictivo y el ágil de la materia.</t>
  </si>
  <si>
    <t>Administración de Empresas · Virtual</t>
  </si>
  <si>
    <t>Administración de Producción y Logística Internacional · Presencial</t>
  </si>
  <si>
    <t>Investigación de Operaciones</t>
  </si>
  <si>
    <t>Operación de Servicios Logísticos</t>
  </si>
  <si>
    <t>Logística</t>
  </si>
  <si>
    <t>Operación Logística de Aprovisionamiento y Gestión de Adquisiciones</t>
  </si>
  <si>
    <t>Gestión de Almacenes e Inventarios</t>
  </si>
  <si>
    <t>Cubre el componente de innovación (ideación y validación de nuevas propuestas de valor). No cubre gestión de calidad total. Validate también sirve como complemento en Emprendimiento.</t>
  </si>
  <si>
    <t>Operación Logística de Producción</t>
  </si>
  <si>
    <t>Tecnología de la Manipulación en Operaciones</t>
  </si>
  <si>
    <t>Recursos Humanos y Desarrollo Organizacional</t>
  </si>
  <si>
    <t>Talento Humano</t>
  </si>
  <si>
    <t>Planeación Estratégica de Operaciones</t>
  </si>
  <si>
    <t>Gestión de Modos y Medios de Transporte</t>
  </si>
  <si>
    <t>Diseño y Gestión de Sistemas Logísticos</t>
  </si>
  <si>
    <t>Supply Chain Management</t>
  </si>
  <si>
    <t>Operaciones Logísticas del Retorno</t>
  </si>
  <si>
    <t>Sistemas de Información Logísticos</t>
  </si>
  <si>
    <t>E-Commerce</t>
  </si>
  <si>
    <t>Administración de Negocios Sostenibles · Virtual</t>
  </si>
  <si>
    <t>Mercadeo Sostenible</t>
  </si>
  <si>
    <t>Planificación y Gestión del Territorio</t>
  </si>
  <si>
    <t>Planeación</t>
  </si>
  <si>
    <t>Contabilidad Ambiental y de la Biodiversidad</t>
  </si>
  <si>
    <t>Creativity &amp; Innovation</t>
  </si>
  <si>
    <t>Desarrollo Sostenible</t>
  </si>
  <si>
    <t>Política y Legislacion Ambiental</t>
  </si>
  <si>
    <t>Carbon Markets</t>
  </si>
  <si>
    <t>Economía Circular</t>
  </si>
  <si>
    <t>Viabilidad de la Economía Circular</t>
  </si>
  <si>
    <t>Sostenibilidad (teoría)</t>
  </si>
  <si>
    <t>Industrial Ecology</t>
  </si>
  <si>
    <t>Gestión de la Producción Sostenible</t>
  </si>
  <si>
    <t>Modelos de Negocios Sostenibles</t>
  </si>
  <si>
    <t>Encaje casi literal: Business Model Canvas con componente de sostenibilidad + lean startup (idear, mapear, testear y presentar el modelo).</t>
  </si>
  <si>
    <t>Sustainable Strategic Management</t>
  </si>
  <si>
    <t>Environmental Economy</t>
  </si>
  <si>
    <t>Contaduría Pública · Presencial</t>
  </si>
  <si>
    <t>Contabilidad Pública</t>
  </si>
  <si>
    <t>Presupuestos</t>
  </si>
  <si>
    <t>Fundamentos de Derecho Tributario</t>
  </si>
  <si>
    <t>Tributaria</t>
  </si>
  <si>
    <t>Derecho Laboral</t>
  </si>
  <si>
    <t>Procesos Contables y Estados Financieros</t>
  </si>
  <si>
    <t>Tributaria I</t>
  </si>
  <si>
    <t>Renta Sim</t>
  </si>
  <si>
    <t>Coincide con la anotación de la col. D. Supuesto: RentaSim simula la depuración y declaración del impuesto de renta en Colombia (confirmar alcance con SNC). Útil también como refuerzo en Fundamentos de Derecho Tributario y Tributaria II.</t>
  </si>
  <si>
    <t>Risk Management</t>
  </si>
  <si>
    <t>Gestión de riesgo</t>
  </si>
  <si>
    <t>Informática y Simulación Gerencial</t>
  </si>
  <si>
    <t>Tributaria II</t>
  </si>
  <si>
    <t>International Accounting System</t>
  </si>
  <si>
    <t>Contabilidad y Nuevas Tecnologías</t>
  </si>
  <si>
    <t>Complementa a Fitness Gym (CG): Validate cubre la fase previa —ideación, Business Model Canvas y validación lean de supuestos— y Fitness Gym la gestión del negocio ya creado.</t>
  </si>
  <si>
    <t>Revisoría Fiscal</t>
  </si>
  <si>
    <t>Auditoría / Control</t>
  </si>
  <si>
    <t>Coincide con la anotación de la col. D. Supuesto: Auditek simula un encargo de auditoría/revisoría (planeación, control interno, pruebas, hallazgos, dictamen) — confirmar alcance con SNC. Útil también como refuerzo en International Financial Audit.</t>
  </si>
  <si>
    <t>International Tax System</t>
  </si>
  <si>
    <t>Derecho Aduanero y Fiscal</t>
  </si>
  <si>
    <t>International Financial Audit</t>
  </si>
  <si>
    <t>Iinternational Accounting Research</t>
  </si>
  <si>
    <t>Investigación</t>
  </si>
  <si>
    <t>International Financial Reporting Standards (IFRS)</t>
  </si>
  <si>
    <t>Economía · Presencial</t>
  </si>
  <si>
    <t>Sistemas Lineales</t>
  </si>
  <si>
    <t>Matemática</t>
  </si>
  <si>
    <t>Escuelas de Pensamiento Económico</t>
  </si>
  <si>
    <t>Cálculo</t>
  </si>
  <si>
    <t>Microeconomía II</t>
  </si>
  <si>
    <t>Métodos Matemáticos</t>
  </si>
  <si>
    <t>Econometrics</t>
  </si>
  <si>
    <t>Econometría / Estadística</t>
  </si>
  <si>
    <t>Macroeconomía II</t>
  </si>
  <si>
    <t>Digital Economics</t>
  </si>
  <si>
    <t>Econometrics II</t>
  </si>
  <si>
    <t>Growth and Economic Development</t>
  </si>
  <si>
    <t>Política Económica</t>
  </si>
  <si>
    <t>Teoría de Juegos</t>
  </si>
  <si>
    <t>Finanzas · Presencial</t>
  </si>
  <si>
    <t>Administración Financiera</t>
  </si>
  <si>
    <t>Administración de Activos</t>
  </si>
  <si>
    <t>Análisis y Gerencia Financiera</t>
  </si>
  <si>
    <t>Gestión Financiera</t>
  </si>
  <si>
    <t>Control Financiero y Presupuestos</t>
  </si>
  <si>
    <t>Financial Econometrics</t>
  </si>
  <si>
    <t>Capital Markets</t>
  </si>
  <si>
    <t>Planeación Fiscal</t>
  </si>
  <si>
    <t>Permite ver el efecto de las decisiones en la renta líquida y el impuesto a cargo; la planeación fiscal estratégica (estructuras, beneficios) requiere caso complementario. Alcance por confirmar.</t>
  </si>
  <si>
    <t>Derivative Markets</t>
  </si>
  <si>
    <t>Instrumentos Financieros Digitales</t>
  </si>
  <si>
    <t>Marketing y Transformación Digital · Presencial</t>
  </si>
  <si>
    <t>Branding (Product)</t>
  </si>
  <si>
    <t>Psicología del consumidor</t>
  </si>
  <si>
    <t>Marketing (teoría)</t>
  </si>
  <si>
    <t>Fases Ideate–Map–Test–Share: ideación a partir de problemas reales, modelo de negocio y validación de supuestos con clientes. Validate también sirve como complemento en Emprendimiento.</t>
  </si>
  <si>
    <t>Canales de distribución (Place)</t>
  </si>
  <si>
    <t>Business Intelligence</t>
  </si>
  <si>
    <t>Juego Gerencial</t>
  </si>
  <si>
    <t>Precio (Pricing)</t>
  </si>
  <si>
    <t>Gerencia Comercial</t>
  </si>
  <si>
    <t>Digital transformation</t>
  </si>
  <si>
    <t>Digital (teoría)</t>
  </si>
  <si>
    <t>Scrum es el marco usual para ejecutar iniciativas de transformación digital; cubre la gestión ágil, no la estrategia ni las tecnologías digitales.</t>
  </si>
  <si>
    <t>Digital Marketing</t>
  </si>
  <si>
    <t>Neuromarketing</t>
  </si>
  <si>
    <t>Integrated Marketing Communications</t>
  </si>
  <si>
    <t>Big Data &amp; Data Mining</t>
  </si>
  <si>
    <t>Analítica</t>
  </si>
  <si>
    <t>Negocios Internacionales · Virtual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</si>
</sst>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0.0;\-0.0;0.0"/>
  </numFmts>
  <fonts count="26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595959"/>
      <name val="Arial"/>
      <family val="2"/>
    </font>
    <font>
      <sz val="10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006100"/>
      <name val="Arial"/>
      <family val="2"/>
    </font>
    <font>
      <b/>
      <sz val="10"/>
      <color rgb="FF9C6500"/>
      <name val="Arial"/>
      <family val="2"/>
    </font>
    <font>
      <b/>
      <sz val="10"/>
      <color rgb="FF9C0006"/>
      <name val="Arial"/>
      <family val="2"/>
    </font>
    <font>
      <sz val="9"/>
      <color rgb="FF595959"/>
      <name val="Arial"/>
      <family val="2"/>
    </font>
    <font>
      <b/>
      <sz val="13"/>
      <color rgb="FF1F3864"/>
      <name val="Arial"/>
      <family val="2"/>
    </font>
    <font>
      <sz val="10"/>
      <color rgb="FF808080"/>
      <name val="Arial"/>
      <family val="2"/>
    </font>
    <font>
      <b/>
      <sz val="10"/>
      <color rgb="FFFF0000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595959"/>
      <name val="Arial"/>
      <family val="2"/>
    </font>
    <font>
      <b/>
      <sz val="10"/>
      <color rgb="FF9C6500"/>
      <name val="Arial"/>
      <family val="2"/>
    </font>
    <font>
      <b/>
      <sz val="10"/>
      <name val="Arial"/>
      <family val="2"/>
    </font>
    <font>
      <b/>
      <sz val="10"/>
      <color rgb="FF006100"/>
      <name val="Arial"/>
      <family val="2"/>
    </font>
    <font>
      <b/>
      <sz val="16"/>
      <color rgb="FF1F3864"/>
      <name val="Arial"/>
      <family val="2"/>
    </font>
    <font>
      <sz val="10"/>
      <color rgb="FF1F3864"/>
      <name val="Arial"/>
      <family val="2"/>
    </font>
    <font>
      <b/>
      <sz val="10"/>
      <color rgb="FF0E6655"/>
      <name val="Arial"/>
      <family val="2"/>
    </font>
    <font>
      <sz val="9"/>
      <color rgb="FF59595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  <fill>
      <patternFill patternType="solid">
        <fgColor rgb="FF0E665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4" borderId="0" xfId="0" applyFont="1" applyFill="1"/>
    <xf numFmtId="0" fontId="5" fillId="0" borderId="0" xfId="0" applyFont="1"/>
    <xf numFmtId="0" fontId="9" fillId="5" borderId="0" xfId="0" applyFont="1" applyFill="1"/>
    <xf numFmtId="0" fontId="10" fillId="6" borderId="0" xfId="0" applyFont="1" applyFill="1"/>
    <xf numFmtId="0" fontId="11" fillId="0" borderId="0" xfId="0" applyFont="1"/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2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24" fillId="0" borderId="0" xfId="0" applyFont="1"/>
    <xf numFmtId="0" fontId="16" fillId="7" borderId="2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64" fontId="17" fillId="0" borderId="2" xfId="0" applyNumberFormat="1" applyFont="1" applyBorder="1" applyAlignment="1">
      <alignment horizontal="center" vertical="center" wrapText="1"/>
    </xf>
    <xf numFmtId="165" fontId="17" fillId="0" borderId="2" xfId="0" applyNumberFormat="1" applyFont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center" vertical="center" wrapText="1"/>
    </xf>
    <xf numFmtId="165" fontId="20" fillId="10" borderId="2" xfId="0" applyNumberFormat="1" applyFont="1" applyFill="1" applyBorder="1" applyAlignment="1">
      <alignment horizontal="center" vertical="center" wrapText="1"/>
    </xf>
    <xf numFmtId="0" fontId="25" fillId="0" borderId="0" xfId="0" applyFont="1"/>
    <xf numFmtId="0" fontId="22" fillId="0" borderId="0" xfId="0" applyFont="1"/>
    <xf numFmtId="0" fontId="18" fillId="0" borderId="0" xfId="0" applyFont="1"/>
    <xf numFmtId="0" fontId="23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vertical="center" wrapText="1"/>
    </xf>
    <xf numFmtId="0" fontId="18" fillId="0" borderId="2" xfId="0" applyFont="1" applyBorder="1" applyAlignment="1">
      <alignment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  <dxf>
      <font>
        <b/>
        <sz val="10"/>
        <color rgb="FF9C0006"/>
        <name val="Arial"/>
      </font>
      <fill>
        <patternFill patternType="solid">
          <fgColor rgb="FFFFC7CE"/>
        </patternFill>
      </fill>
    </dxf>
    <dxf>
      <font>
        <b/>
        <sz val="10"/>
        <color rgb="FF9C6500"/>
        <name val="Arial"/>
      </font>
      <fill>
        <patternFill patternType="solid">
          <fgColor rgb="FFFFEB9C"/>
        </patternFill>
      </fill>
    </dxf>
    <dxf>
      <font>
        <b/>
        <sz val="10"/>
        <color rgb="FF006100"/>
        <name val="Arial"/>
      </font>
      <fill>
        <patternFill patternType="solid">
          <f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95"/>
  <sheetViews>
    <sheetView showGridLines="0" topLeftCell="A6" zoomScaleNormal="100" workbookViewId="0"/>
  </sheetViews>
  <sheetFormatPr baseColWidth="10" defaultColWidth="8.7109375" defaultRowHeight="15" x14ac:dyDescent="0.25"/>
  <cols>
    <col min="1" max="1" width="2" customWidth="1"/>
    <col min="2" max="2" width="44" customWidth="1"/>
    <col min="3" max="3" width="16" customWidth="1"/>
    <col min="4" max="7" width="15" customWidth="1"/>
    <col min="8" max="8" width="3" customWidth="1"/>
    <col min="9" max="13" width="15" customWidth="1"/>
    <col min="14" max="14" width="14" customWidth="1"/>
  </cols>
  <sheetData>
    <row r="2" spans="2:14" ht="20.25" customHeight="1" x14ac:dyDescent="0.3">
      <c r="B2" s="1" t="s">
        <v>129</v>
      </c>
    </row>
    <row r="3" spans="2:14" ht="15" customHeight="1" x14ac:dyDescent="0.25">
      <c r="B3" s="2" t="s">
        <v>130</v>
      </c>
    </row>
    <row r="4" spans="2:14" ht="15" customHeight="1" x14ac:dyDescent="0.25">
      <c r="B4" s="3" t="s">
        <v>131</v>
      </c>
    </row>
    <row r="5" spans="2:14" x14ac:dyDescent="0.25">
      <c r="I5" s="33" t="s">
        <v>132</v>
      </c>
    </row>
    <row r="6" spans="2:14" ht="42" customHeight="1" x14ac:dyDescent="0.25">
      <c r="B6" s="4" t="s">
        <v>133</v>
      </c>
      <c r="C6" s="4" t="s">
        <v>134</v>
      </c>
      <c r="D6" s="4" t="s">
        <v>18</v>
      </c>
      <c r="E6" s="4" t="s">
        <v>85</v>
      </c>
      <c r="F6" s="4" t="s">
        <v>135</v>
      </c>
      <c r="G6" s="4" t="s">
        <v>136</v>
      </c>
      <c r="I6" s="34" t="s">
        <v>137</v>
      </c>
      <c r="J6" s="34" t="s">
        <v>138</v>
      </c>
      <c r="K6" s="34" t="s">
        <v>139</v>
      </c>
      <c r="L6" s="34" t="s">
        <v>140</v>
      </c>
      <c r="M6" s="34" t="s">
        <v>141</v>
      </c>
      <c r="N6" s="34" t="s">
        <v>142</v>
      </c>
    </row>
    <row r="7" spans="2:14" x14ac:dyDescent="0.25">
      <c r="B7" s="5" t="s">
        <v>143</v>
      </c>
      <c r="C7" s="6">
        <f>COUNTA('Adm. Empresas (Presencial)'!$B$3:$B$200)</f>
        <v>66</v>
      </c>
      <c r="D7" s="6">
        <f>COUNTIF('Adm. Empresas (Presencial)'!$F$3:$F$200,"Encaje perfecto")</f>
        <v>6</v>
      </c>
      <c r="E7" s="6">
        <f>COUNTIF('Adm. Empresas (Presencial)'!$F$3:$F$200,"Encaje parcial")</f>
        <v>4</v>
      </c>
      <c r="F7" s="6">
        <f>COUNTIF('Adm. Empresas (Presencial)'!$F$3:$F$200,"No encaja")</f>
        <v>56</v>
      </c>
      <c r="G7" s="7">
        <f t="shared" ref="G7:G17" si="0">IFERROR((D7+E7)/C7,0)</f>
        <v>0.15151515151515152</v>
      </c>
      <c r="I7" s="35">
        <f>COUNTIF('Adm. Empresas (Presencial)'!$K$3:$K$200,"Encaje perfecto")</f>
        <v>1</v>
      </c>
      <c r="J7" s="35">
        <f>COUNTIF('Adm. Empresas (Presencial)'!$K$3:$K$200,"Encaje parcial")</f>
        <v>1</v>
      </c>
      <c r="K7" s="35">
        <f>COUNTIF('Adm. Empresas (Presencial)'!$M$3:$M$200,"Encaje perfecto")</f>
        <v>7</v>
      </c>
      <c r="L7" s="35">
        <f>COUNTIF('Adm. Empresas (Presencial)'!$M$3:$M$200,"Encaje parcial")</f>
        <v>4</v>
      </c>
      <c r="M7" s="36">
        <f t="shared" ref="M7:M17" si="1">IFERROR((K7+L7)/C7,0)</f>
        <v>0.16666666666666666</v>
      </c>
      <c r="N7" s="37">
        <f t="shared" ref="N7:N17" si="2">(M7-G7)*100</f>
        <v>1.5151515151515138</v>
      </c>
    </row>
    <row r="8" spans="2:14" x14ac:dyDescent="0.25">
      <c r="B8" s="5" t="s">
        <v>144</v>
      </c>
      <c r="C8" s="6">
        <f>COUNTA('Adm. Empresas (Virtual)'!$B$3:$B$200)</f>
        <v>66</v>
      </c>
      <c r="D8" s="6">
        <f>COUNTIF('Adm. Empresas (Virtual)'!$F$3:$F$200,"Encaje perfecto")</f>
        <v>6</v>
      </c>
      <c r="E8" s="6">
        <f>COUNTIF('Adm. Empresas (Virtual)'!$F$3:$F$200,"Encaje parcial")</f>
        <v>4</v>
      </c>
      <c r="F8" s="6">
        <f>COUNTIF('Adm. Empresas (Virtual)'!$F$3:$F$200,"No encaja")</f>
        <v>56</v>
      </c>
      <c r="G8" s="7">
        <f t="shared" si="0"/>
        <v>0.15151515151515152</v>
      </c>
      <c r="I8" s="35">
        <f>COUNTIF('Adm. Empresas (Virtual)'!$K$3:$K$200,"Encaje perfecto")</f>
        <v>1</v>
      </c>
      <c r="J8" s="35">
        <f>COUNTIF('Adm. Empresas (Virtual)'!$K$3:$K$200,"Encaje parcial")</f>
        <v>1</v>
      </c>
      <c r="K8" s="35">
        <f>COUNTIF('Adm. Empresas (Virtual)'!$M$3:$M$200,"Encaje perfecto")</f>
        <v>7</v>
      </c>
      <c r="L8" s="35">
        <f>COUNTIF('Adm. Empresas (Virtual)'!$M$3:$M$200,"Encaje parcial")</f>
        <v>4</v>
      </c>
      <c r="M8" s="36">
        <f t="shared" si="1"/>
        <v>0.16666666666666666</v>
      </c>
      <c r="N8" s="37">
        <f t="shared" si="2"/>
        <v>1.5151515151515138</v>
      </c>
    </row>
    <row r="9" spans="2:14" x14ac:dyDescent="0.25">
      <c r="B9" s="5" t="s">
        <v>145</v>
      </c>
      <c r="C9" s="6">
        <f>COUNTA('Adm. Producción y Logística'!$B$3:$B$200)</f>
        <v>65</v>
      </c>
      <c r="D9" s="6">
        <f>COUNTIF('Adm. Producción y Logística'!$F$3:$F$200,"Encaje perfecto")</f>
        <v>7</v>
      </c>
      <c r="E9" s="6">
        <f>COUNTIF('Adm. Producción y Logística'!$F$3:$F$200,"Encaje parcial")</f>
        <v>2</v>
      </c>
      <c r="F9" s="6">
        <f>COUNTIF('Adm. Producción y Logística'!$F$3:$F$200,"No encaja")</f>
        <v>56</v>
      </c>
      <c r="G9" s="7">
        <f t="shared" si="0"/>
        <v>0.13846153846153847</v>
      </c>
      <c r="I9" s="35">
        <f>COUNTIF('Adm. Producción y Logística'!$K$3:$K$200,"Encaje perfecto")</f>
        <v>1</v>
      </c>
      <c r="J9" s="35">
        <f>COUNTIF('Adm. Producción y Logística'!$K$3:$K$200,"Encaje parcial")</f>
        <v>1</v>
      </c>
      <c r="K9" s="35">
        <f>COUNTIF('Adm. Producción y Logística'!$M$3:$M$200,"Encaje perfecto")</f>
        <v>8</v>
      </c>
      <c r="L9" s="35">
        <f>COUNTIF('Adm. Producción y Logística'!$M$3:$M$200,"Encaje parcial")</f>
        <v>2</v>
      </c>
      <c r="M9" s="36">
        <f t="shared" si="1"/>
        <v>0.15384615384615385</v>
      </c>
      <c r="N9" s="37">
        <f t="shared" si="2"/>
        <v>1.5384615384615385</v>
      </c>
    </row>
    <row r="10" spans="2:14" x14ac:dyDescent="0.25">
      <c r="B10" s="5" t="s">
        <v>146</v>
      </c>
      <c r="C10" s="6">
        <f>COUNTA('Adm. Negocios Sostenibles'!$B$3:$B$200)</f>
        <v>66</v>
      </c>
      <c r="D10" s="6">
        <f>COUNTIF('Adm. Negocios Sostenibles'!$F$3:$F$200,"Encaje perfecto")</f>
        <v>7</v>
      </c>
      <c r="E10" s="6">
        <f>COUNTIF('Adm. Negocios Sostenibles'!$F$3:$F$200,"Encaje parcial")</f>
        <v>2</v>
      </c>
      <c r="F10" s="6">
        <f>COUNTIF('Adm. Negocios Sostenibles'!$F$3:$F$200,"No encaja")</f>
        <v>57</v>
      </c>
      <c r="G10" s="7">
        <f t="shared" si="0"/>
        <v>0.13636363636363635</v>
      </c>
      <c r="I10" s="35">
        <f>COUNTIF('Adm. Negocios Sostenibles'!$K$3:$K$200,"Encaje perfecto")</f>
        <v>2</v>
      </c>
      <c r="J10" s="35">
        <f>COUNTIF('Adm. Negocios Sostenibles'!$K$3:$K$200,"Encaje parcial")</f>
        <v>1</v>
      </c>
      <c r="K10" s="35">
        <f>COUNTIF('Adm. Negocios Sostenibles'!$M$3:$M$200,"Encaje perfecto")</f>
        <v>9</v>
      </c>
      <c r="L10" s="35">
        <f>COUNTIF('Adm. Negocios Sostenibles'!$M$3:$M$200,"Encaje parcial")</f>
        <v>2</v>
      </c>
      <c r="M10" s="36">
        <f t="shared" si="1"/>
        <v>0.16666666666666666</v>
      </c>
      <c r="N10" s="37">
        <f t="shared" si="2"/>
        <v>3.0303030303030303</v>
      </c>
    </row>
    <row r="11" spans="2:14" x14ac:dyDescent="0.25">
      <c r="B11" s="5" t="s">
        <v>147</v>
      </c>
      <c r="C11" s="6">
        <f>COUNTA('Contaduría Pública'!$B$3:$B$200)</f>
        <v>66</v>
      </c>
      <c r="D11" s="6">
        <f>COUNTIF('Contaduría Pública'!$F$3:$F$200,"Encaje perfecto")</f>
        <v>6</v>
      </c>
      <c r="E11" s="6">
        <f>COUNTIF('Contaduría Pública'!$F$3:$F$200,"Encaje parcial")</f>
        <v>2</v>
      </c>
      <c r="F11" s="6">
        <f>COUNTIF('Contaduría Pública'!$F$3:$F$200,"No encaja")</f>
        <v>58</v>
      </c>
      <c r="G11" s="7">
        <f t="shared" si="0"/>
        <v>0.12121212121212122</v>
      </c>
      <c r="I11" s="35">
        <f>COUNTIF('Contaduría Pública'!$K$3:$K$200,"Encaje perfecto")</f>
        <v>2</v>
      </c>
      <c r="J11" s="35">
        <f>COUNTIF('Contaduría Pública'!$K$3:$K$200,"Encaje parcial")</f>
        <v>1</v>
      </c>
      <c r="K11" s="35">
        <f>COUNTIF('Contaduría Pública'!$M$3:$M$200,"Encaje perfecto")</f>
        <v>8</v>
      </c>
      <c r="L11" s="35">
        <f>COUNTIF('Contaduría Pública'!$M$3:$M$200,"Encaje parcial")</f>
        <v>2</v>
      </c>
      <c r="M11" s="36">
        <f t="shared" si="1"/>
        <v>0.15151515151515152</v>
      </c>
      <c r="N11" s="37">
        <f t="shared" si="2"/>
        <v>3.0303030303030303</v>
      </c>
    </row>
    <row r="12" spans="2:14" x14ac:dyDescent="0.25">
      <c r="B12" s="5" t="s">
        <v>148</v>
      </c>
      <c r="C12" s="6">
        <f>COUNTA(Economía!$B$3:$B$200)</f>
        <v>65</v>
      </c>
      <c r="D12" s="6">
        <f>COUNTIF(Economía!$F$3:$F$200,"Encaje perfecto")</f>
        <v>6</v>
      </c>
      <c r="E12" s="6">
        <f>COUNTIF(Economía!$F$3:$F$200,"Encaje parcial")</f>
        <v>2</v>
      </c>
      <c r="F12" s="6">
        <f>COUNTIF(Economía!$F$3:$F$200,"No encaja")</f>
        <v>57</v>
      </c>
      <c r="G12" s="7">
        <f t="shared" si="0"/>
        <v>0.12307692307692308</v>
      </c>
      <c r="I12" s="35">
        <f>COUNTIF(Economía!$K$3:$K$200,"Encaje perfecto")</f>
        <v>0</v>
      </c>
      <c r="J12" s="35">
        <f>COUNTIF(Economía!$K$3:$K$200,"Encaje parcial")</f>
        <v>1</v>
      </c>
      <c r="K12" s="35">
        <f>COUNTIF(Economía!$M$3:$M$200,"Encaje perfecto")</f>
        <v>6</v>
      </c>
      <c r="L12" s="35">
        <f>COUNTIF(Economía!$M$3:$M$200,"Encaje parcial")</f>
        <v>2</v>
      </c>
      <c r="M12" s="36">
        <f t="shared" si="1"/>
        <v>0.12307692307692308</v>
      </c>
      <c r="N12" s="37">
        <f t="shared" si="2"/>
        <v>0</v>
      </c>
    </row>
    <row r="13" spans="2:14" x14ac:dyDescent="0.25">
      <c r="B13" s="5" t="s">
        <v>27</v>
      </c>
      <c r="C13" s="6">
        <f>COUNTA(Finanzas!$B$3:$B$200)</f>
        <v>66</v>
      </c>
      <c r="D13" s="6">
        <f>COUNTIF(Finanzas!$F$3:$F$200,"Encaje perfecto")</f>
        <v>8</v>
      </c>
      <c r="E13" s="6">
        <f>COUNTIF(Finanzas!$F$3:$F$200,"Encaje parcial")</f>
        <v>3</v>
      </c>
      <c r="F13" s="6">
        <f>COUNTIF(Finanzas!$F$3:$F$200,"No encaja")</f>
        <v>55</v>
      </c>
      <c r="G13" s="7">
        <f t="shared" si="0"/>
        <v>0.16666666666666666</v>
      </c>
      <c r="I13" s="35">
        <f>COUNTIF(Finanzas!$K$3:$K$200,"Encaje perfecto")</f>
        <v>0</v>
      </c>
      <c r="J13" s="35">
        <f>COUNTIF(Finanzas!$K$3:$K$200,"Encaje parcial")</f>
        <v>2</v>
      </c>
      <c r="K13" s="35">
        <f>COUNTIF(Finanzas!$M$3:$M$200,"Encaje perfecto")</f>
        <v>8</v>
      </c>
      <c r="L13" s="35">
        <f>COUNTIF(Finanzas!$M$3:$M$200,"Encaje parcial")</f>
        <v>4</v>
      </c>
      <c r="M13" s="36">
        <f t="shared" si="1"/>
        <v>0.18181818181818182</v>
      </c>
      <c r="N13" s="37">
        <f t="shared" si="2"/>
        <v>1.5151515151515165</v>
      </c>
    </row>
    <row r="14" spans="2:14" x14ac:dyDescent="0.25">
      <c r="B14" s="5" t="s">
        <v>149</v>
      </c>
      <c r="C14" s="6">
        <f>COUNTA('Marketing y Transf. Digital'!$B$3:$B$200)</f>
        <v>66</v>
      </c>
      <c r="D14" s="6">
        <f>COUNTIF('Marketing y Transf. Digital'!$F$3:$F$200,"Encaje perfecto")</f>
        <v>9</v>
      </c>
      <c r="E14" s="6">
        <f>COUNTIF('Marketing y Transf. Digital'!$F$3:$F$200,"Encaje parcial")</f>
        <v>3</v>
      </c>
      <c r="F14" s="6">
        <f>COUNTIF('Marketing y Transf. Digital'!$F$3:$F$200,"No encaja")</f>
        <v>54</v>
      </c>
      <c r="G14" s="7">
        <f t="shared" si="0"/>
        <v>0.18181818181818182</v>
      </c>
      <c r="I14" s="35">
        <f>COUNTIF('Marketing y Transf. Digital'!$K$3:$K$200,"Encaje perfecto")</f>
        <v>1</v>
      </c>
      <c r="J14" s="35">
        <f>COUNTIF('Marketing y Transf. Digital'!$K$3:$K$200,"Encaje parcial")</f>
        <v>1</v>
      </c>
      <c r="K14" s="35">
        <f>COUNTIF('Marketing y Transf. Digital'!$M$3:$M$200,"Encaje perfecto")</f>
        <v>10</v>
      </c>
      <c r="L14" s="35">
        <f>COUNTIF('Marketing y Transf. Digital'!$M$3:$M$200,"Encaje parcial")</f>
        <v>4</v>
      </c>
      <c r="M14" s="36">
        <f t="shared" si="1"/>
        <v>0.21212121212121213</v>
      </c>
      <c r="N14" s="37">
        <f t="shared" si="2"/>
        <v>3.0303030303030303</v>
      </c>
    </row>
    <row r="15" spans="2:14" x14ac:dyDescent="0.25">
      <c r="B15" s="5" t="s">
        <v>150</v>
      </c>
      <c r="C15" s="6">
        <f>COUNTA('Negocios Internac. (Presenc.)'!$B$3:$B$200)</f>
        <v>64</v>
      </c>
      <c r="D15" s="6">
        <f>COUNTIF('Negocios Internac. (Presenc.)'!$F$3:$F$200,"Encaje perfecto")</f>
        <v>9</v>
      </c>
      <c r="E15" s="6">
        <f>COUNTIF('Negocios Internac. (Presenc.)'!$F$3:$F$200,"Encaje parcial")</f>
        <v>3</v>
      </c>
      <c r="F15" s="6">
        <f>COUNTIF('Negocios Internac. (Presenc.)'!$F$3:$F$200,"No encaja")</f>
        <v>52</v>
      </c>
      <c r="G15" s="7">
        <f t="shared" si="0"/>
        <v>0.1875</v>
      </c>
      <c r="I15" s="35">
        <f>COUNTIF('Negocios Internac. (Presenc.)'!$K$3:$K$200,"Encaje perfecto")</f>
        <v>0</v>
      </c>
      <c r="J15" s="35">
        <f>COUNTIF('Negocios Internac. (Presenc.)'!$K$3:$K$200,"Encaje parcial")</f>
        <v>3</v>
      </c>
      <c r="K15" s="35">
        <f>COUNTIF('Negocios Internac. (Presenc.)'!$M$3:$M$200,"Encaje perfecto")</f>
        <v>9</v>
      </c>
      <c r="L15" s="35">
        <f>COUNTIF('Negocios Internac. (Presenc.)'!$M$3:$M$200,"Encaje parcial")</f>
        <v>6</v>
      </c>
      <c r="M15" s="36">
        <f t="shared" si="1"/>
        <v>0.234375</v>
      </c>
      <c r="N15" s="37">
        <f t="shared" si="2"/>
        <v>4.6875</v>
      </c>
    </row>
    <row r="16" spans="2:14" x14ac:dyDescent="0.25">
      <c r="B16" s="5" t="s">
        <v>151</v>
      </c>
      <c r="C16" s="6">
        <f>COUNTA('Negocios Internac. (Virtual)'!$B$3:$B$200)</f>
        <v>64</v>
      </c>
      <c r="D16" s="6">
        <f>COUNTIF('Negocios Internac. (Virtual)'!$F$3:$F$200,"Encaje perfecto")</f>
        <v>9</v>
      </c>
      <c r="E16" s="6">
        <f>COUNTIF('Negocios Internac. (Virtual)'!$F$3:$F$200,"Encaje parcial")</f>
        <v>3</v>
      </c>
      <c r="F16" s="6">
        <f>COUNTIF('Negocios Internac. (Virtual)'!$F$3:$F$200,"No encaja")</f>
        <v>52</v>
      </c>
      <c r="G16" s="7">
        <f t="shared" si="0"/>
        <v>0.1875</v>
      </c>
      <c r="I16" s="35">
        <f>COUNTIF('Negocios Internac. (Virtual)'!$K$3:$K$200,"Encaje perfecto")</f>
        <v>0</v>
      </c>
      <c r="J16" s="35">
        <f>COUNTIF('Negocios Internac. (Virtual)'!$K$3:$K$200,"Encaje parcial")</f>
        <v>3</v>
      </c>
      <c r="K16" s="35">
        <f>COUNTIF('Negocios Internac. (Virtual)'!$M$3:$M$200,"Encaje perfecto")</f>
        <v>9</v>
      </c>
      <c r="L16" s="35">
        <f>COUNTIF('Negocios Internac. (Virtual)'!$M$3:$M$200,"Encaje parcial")</f>
        <v>6</v>
      </c>
      <c r="M16" s="36">
        <f t="shared" si="1"/>
        <v>0.234375</v>
      </c>
      <c r="N16" s="37">
        <f t="shared" si="2"/>
        <v>4.6875</v>
      </c>
    </row>
    <row r="17" spans="2:14" x14ac:dyDescent="0.25">
      <c r="B17" s="8" t="s">
        <v>152</v>
      </c>
      <c r="C17" s="9">
        <f>SUM(C7:C16)</f>
        <v>654</v>
      </c>
      <c r="D17" s="9">
        <f>SUM(D7:D16)</f>
        <v>73</v>
      </c>
      <c r="E17" s="9">
        <f>SUM(E7:E16)</f>
        <v>28</v>
      </c>
      <c r="F17" s="9">
        <f>SUM(F7:F16)</f>
        <v>553</v>
      </c>
      <c r="G17" s="10">
        <f t="shared" si="0"/>
        <v>0.154434250764526</v>
      </c>
      <c r="I17" s="38">
        <f>SUM(I7:I16)</f>
        <v>8</v>
      </c>
      <c r="J17" s="38">
        <f>SUM(J7:J16)</f>
        <v>15</v>
      </c>
      <c r="K17" s="38">
        <f>SUM(K7:K16)</f>
        <v>81</v>
      </c>
      <c r="L17" s="38">
        <f>SUM(L7:L16)</f>
        <v>36</v>
      </c>
      <c r="M17" s="39">
        <f t="shared" si="1"/>
        <v>0.17889908256880735</v>
      </c>
      <c r="N17" s="40">
        <f t="shared" si="2"/>
        <v>2.4464831804281357</v>
      </c>
    </row>
    <row r="19" spans="2:14" x14ac:dyDescent="0.25">
      <c r="B19" s="11" t="s">
        <v>153</v>
      </c>
    </row>
    <row r="20" spans="2:14" x14ac:dyDescent="0.25">
      <c r="B20" s="12" t="s">
        <v>18</v>
      </c>
      <c r="C20" s="13" t="s">
        <v>154</v>
      </c>
    </row>
    <row r="21" spans="2:14" x14ac:dyDescent="0.25">
      <c r="B21" s="14" t="s">
        <v>85</v>
      </c>
      <c r="C21" s="13" t="s">
        <v>155</v>
      </c>
    </row>
    <row r="22" spans="2:14" x14ac:dyDescent="0.25">
      <c r="B22" s="15" t="s">
        <v>25</v>
      </c>
      <c r="C22" s="13" t="s">
        <v>156</v>
      </c>
    </row>
    <row r="24" spans="2:14" x14ac:dyDescent="0.25">
      <c r="B24" s="11" t="s">
        <v>157</v>
      </c>
    </row>
    <row r="25" spans="2:14" x14ac:dyDescent="0.25">
      <c r="B25" s="16" t="s">
        <v>158</v>
      </c>
    </row>
    <row r="26" spans="2:14" x14ac:dyDescent="0.25">
      <c r="B26" s="16" t="s">
        <v>159</v>
      </c>
    </row>
    <row r="27" spans="2:14" x14ac:dyDescent="0.25">
      <c r="B27" s="16" t="s">
        <v>160</v>
      </c>
    </row>
    <row r="28" spans="2:14" x14ac:dyDescent="0.25">
      <c r="B28" s="16" t="s">
        <v>161</v>
      </c>
    </row>
    <row r="29" spans="2:14" x14ac:dyDescent="0.25">
      <c r="B29" s="16" t="s">
        <v>162</v>
      </c>
    </row>
    <row r="30" spans="2:14" x14ac:dyDescent="0.25">
      <c r="B30" s="16" t="s">
        <v>163</v>
      </c>
    </row>
    <row r="31" spans="2:14" x14ac:dyDescent="0.25">
      <c r="B31" s="16" t="s">
        <v>164</v>
      </c>
    </row>
    <row r="32" spans="2:14" x14ac:dyDescent="0.25">
      <c r="B32" s="16" t="s">
        <v>165</v>
      </c>
    </row>
    <row r="33" spans="2:2" x14ac:dyDescent="0.25">
      <c r="B33" s="16" t="s">
        <v>166</v>
      </c>
    </row>
    <row r="34" spans="2:2" x14ac:dyDescent="0.25">
      <c r="B34" s="16" t="s">
        <v>167</v>
      </c>
    </row>
    <row r="35" spans="2:2" x14ac:dyDescent="0.25">
      <c r="B35" s="16" t="s">
        <v>168</v>
      </c>
    </row>
    <row r="36" spans="2:2" x14ac:dyDescent="0.25">
      <c r="B36" s="16" t="s">
        <v>169</v>
      </c>
    </row>
    <row r="37" spans="2:2" x14ac:dyDescent="0.25">
      <c r="B37" s="16" t="s">
        <v>170</v>
      </c>
    </row>
    <row r="38" spans="2:2" x14ac:dyDescent="0.25">
      <c r="B38" s="16" t="s">
        <v>171</v>
      </c>
    </row>
    <row r="39" spans="2:2" x14ac:dyDescent="0.25">
      <c r="B39" s="16" t="s">
        <v>172</v>
      </c>
    </row>
    <row r="40" spans="2:2" x14ac:dyDescent="0.25">
      <c r="B40" s="16" t="s">
        <v>173</v>
      </c>
    </row>
    <row r="41" spans="2:2" x14ac:dyDescent="0.25">
      <c r="B41" s="16" t="s">
        <v>174</v>
      </c>
    </row>
    <row r="42" spans="2:2" x14ac:dyDescent="0.25">
      <c r="B42" s="16" t="s">
        <v>175</v>
      </c>
    </row>
    <row r="43" spans="2:2" x14ac:dyDescent="0.25">
      <c r="B43" s="16" t="s">
        <v>176</v>
      </c>
    </row>
    <row r="44" spans="2:2" x14ac:dyDescent="0.25">
      <c r="B44" s="16" t="s">
        <v>177</v>
      </c>
    </row>
    <row r="45" spans="2:2" x14ac:dyDescent="0.25">
      <c r="B45" s="16" t="s">
        <v>178</v>
      </c>
    </row>
    <row r="46" spans="2:2" x14ac:dyDescent="0.25">
      <c r="B46" s="16" t="s">
        <v>179</v>
      </c>
    </row>
    <row r="47" spans="2:2" x14ac:dyDescent="0.25">
      <c r="B47" s="16" t="s">
        <v>180</v>
      </c>
    </row>
    <row r="48" spans="2:2" x14ac:dyDescent="0.25">
      <c r="B48" s="16" t="s">
        <v>181</v>
      </c>
    </row>
    <row r="49" spans="2:2" x14ac:dyDescent="0.25">
      <c r="B49" s="16" t="s">
        <v>182</v>
      </c>
    </row>
    <row r="50" spans="2:2" x14ac:dyDescent="0.25">
      <c r="B50" s="16" t="s">
        <v>183</v>
      </c>
    </row>
    <row r="51" spans="2:2" x14ac:dyDescent="0.25">
      <c r="B51" s="16" t="s">
        <v>184</v>
      </c>
    </row>
    <row r="52" spans="2:2" x14ac:dyDescent="0.25">
      <c r="B52" s="16" t="s">
        <v>185</v>
      </c>
    </row>
    <row r="53" spans="2:2" x14ac:dyDescent="0.25">
      <c r="B53" s="16" t="s">
        <v>186</v>
      </c>
    </row>
    <row r="54" spans="2:2" x14ac:dyDescent="0.25">
      <c r="B54" s="16" t="s">
        <v>187</v>
      </c>
    </row>
    <row r="55" spans="2:2" x14ac:dyDescent="0.25">
      <c r="B55" s="16" t="s">
        <v>188</v>
      </c>
    </row>
    <row r="56" spans="2:2" x14ac:dyDescent="0.25">
      <c r="B56" s="16" t="s">
        <v>189</v>
      </c>
    </row>
    <row r="57" spans="2:2" x14ac:dyDescent="0.25">
      <c r="B57" s="16" t="s">
        <v>190</v>
      </c>
    </row>
    <row r="58" spans="2:2" x14ac:dyDescent="0.25">
      <c r="B58" s="16" t="s">
        <v>191</v>
      </c>
    </row>
    <row r="59" spans="2:2" x14ac:dyDescent="0.25">
      <c r="B59" s="16" t="s">
        <v>192</v>
      </c>
    </row>
    <row r="60" spans="2:2" x14ac:dyDescent="0.25">
      <c r="B60" s="16" t="s">
        <v>193</v>
      </c>
    </row>
    <row r="61" spans="2:2" x14ac:dyDescent="0.25">
      <c r="B61" s="16" t="s">
        <v>194</v>
      </c>
    </row>
    <row r="62" spans="2:2" x14ac:dyDescent="0.25">
      <c r="B62" s="16" t="s">
        <v>195</v>
      </c>
    </row>
    <row r="63" spans="2:2" x14ac:dyDescent="0.25">
      <c r="B63" s="16" t="s">
        <v>196</v>
      </c>
    </row>
    <row r="64" spans="2:2" x14ac:dyDescent="0.25">
      <c r="B64" s="16" t="s">
        <v>197</v>
      </c>
    </row>
    <row r="65" spans="2:2" x14ac:dyDescent="0.25">
      <c r="B65" s="16" t="s">
        <v>198</v>
      </c>
    </row>
    <row r="66" spans="2:2" x14ac:dyDescent="0.25">
      <c r="B66" s="16" t="s">
        <v>199</v>
      </c>
    </row>
    <row r="67" spans="2:2" x14ac:dyDescent="0.25">
      <c r="B67" s="16" t="s">
        <v>200</v>
      </c>
    </row>
    <row r="68" spans="2:2" x14ac:dyDescent="0.25">
      <c r="B68" s="16" t="s">
        <v>201</v>
      </c>
    </row>
    <row r="69" spans="2:2" x14ac:dyDescent="0.25">
      <c r="B69" s="16" t="s">
        <v>202</v>
      </c>
    </row>
    <row r="70" spans="2:2" x14ac:dyDescent="0.25">
      <c r="B70" s="16" t="s">
        <v>203</v>
      </c>
    </row>
    <row r="71" spans="2:2" x14ac:dyDescent="0.25">
      <c r="B71" s="16" t="s">
        <v>204</v>
      </c>
    </row>
    <row r="72" spans="2:2" x14ac:dyDescent="0.25">
      <c r="B72" s="16" t="s">
        <v>205</v>
      </c>
    </row>
    <row r="73" spans="2:2" x14ac:dyDescent="0.25">
      <c r="B73" s="16" t="s">
        <v>206</v>
      </c>
    </row>
    <row r="74" spans="2:2" x14ac:dyDescent="0.25">
      <c r="B74" s="16" t="s">
        <v>207</v>
      </c>
    </row>
    <row r="75" spans="2:2" x14ac:dyDescent="0.25">
      <c r="B75" s="16" t="s">
        <v>208</v>
      </c>
    </row>
    <row r="76" spans="2:2" x14ac:dyDescent="0.25">
      <c r="B76" s="16" t="s">
        <v>209</v>
      </c>
    </row>
    <row r="77" spans="2:2" x14ac:dyDescent="0.25">
      <c r="B77" s="16" t="s">
        <v>210</v>
      </c>
    </row>
    <row r="78" spans="2:2" x14ac:dyDescent="0.25">
      <c r="B78" s="16" t="s">
        <v>211</v>
      </c>
    </row>
    <row r="79" spans="2:2" x14ac:dyDescent="0.25">
      <c r="B79" s="16" t="s">
        <v>212</v>
      </c>
    </row>
    <row r="81" spans="2:2" x14ac:dyDescent="0.25">
      <c r="B81" s="33" t="s">
        <v>213</v>
      </c>
    </row>
    <row r="82" spans="2:2" x14ac:dyDescent="0.25">
      <c r="B82" s="41" t="s">
        <v>214</v>
      </c>
    </row>
    <row r="83" spans="2:2" x14ac:dyDescent="0.25">
      <c r="B83" s="41" t="s">
        <v>215</v>
      </c>
    </row>
    <row r="84" spans="2:2" x14ac:dyDescent="0.25">
      <c r="B84" s="41" t="s">
        <v>216</v>
      </c>
    </row>
    <row r="85" spans="2:2" x14ac:dyDescent="0.25">
      <c r="B85" s="41" t="s">
        <v>217</v>
      </c>
    </row>
    <row r="86" spans="2:2" x14ac:dyDescent="0.25">
      <c r="B86" s="41" t="s">
        <v>218</v>
      </c>
    </row>
    <row r="87" spans="2:2" x14ac:dyDescent="0.25">
      <c r="B87" s="41" t="s">
        <v>219</v>
      </c>
    </row>
    <row r="88" spans="2:2" x14ac:dyDescent="0.25">
      <c r="B88" s="41" t="s">
        <v>220</v>
      </c>
    </row>
    <row r="89" spans="2:2" x14ac:dyDescent="0.25">
      <c r="B89" s="41" t="s">
        <v>221</v>
      </c>
    </row>
    <row r="90" spans="2:2" x14ac:dyDescent="0.25">
      <c r="B90" s="41" t="s">
        <v>222</v>
      </c>
    </row>
    <row r="91" spans="2:2" x14ac:dyDescent="0.25">
      <c r="B91" s="41" t="s">
        <v>223</v>
      </c>
    </row>
    <row r="92" spans="2:2" x14ac:dyDescent="0.25">
      <c r="B92" s="41" t="s">
        <v>224</v>
      </c>
    </row>
    <row r="93" spans="2:2" x14ac:dyDescent="0.25">
      <c r="B93" s="41" t="s">
        <v>225</v>
      </c>
    </row>
    <row r="94" spans="2:2" x14ac:dyDescent="0.25">
      <c r="B94" s="41" t="s">
        <v>226</v>
      </c>
    </row>
    <row r="95" spans="2:2" x14ac:dyDescent="0.25">
      <c r="B95" s="41" t="s">
        <v>227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45"/>
  <sheetViews>
    <sheetView showGridLines="0" zoomScaleNormal="100" workbookViewId="0">
      <pane ySplit="4" topLeftCell="A59" activePane="bottomLeft" state="frozen"/>
      <selection pane="bottomLeft"/>
    </sheetView>
  </sheetViews>
  <sheetFormatPr baseColWidth="10" defaultColWidth="8.7109375" defaultRowHeight="15" x14ac:dyDescent="0.25"/>
  <cols>
    <col min="1" max="2" width="30" customWidth="1"/>
    <col min="3" max="3" width="16" customWidth="1"/>
    <col min="4" max="4" width="60" customWidth="1"/>
  </cols>
  <sheetData>
    <row r="2" spans="1:4" ht="20.25" customHeight="1" x14ac:dyDescent="0.3">
      <c r="A2" s="1" t="s">
        <v>228</v>
      </c>
    </row>
    <row r="3" spans="1:4" x14ac:dyDescent="0.25">
      <c r="A3" s="2" t="s">
        <v>229</v>
      </c>
    </row>
    <row r="4" spans="1:4" ht="21.75" customHeight="1" x14ac:dyDescent="0.25">
      <c r="A4" s="4" t="s">
        <v>230</v>
      </c>
      <c r="B4" s="4" t="s">
        <v>231</v>
      </c>
      <c r="C4" s="4" t="s">
        <v>232</v>
      </c>
      <c r="D4" s="4" t="s">
        <v>233</v>
      </c>
    </row>
    <row r="5" spans="1:4" x14ac:dyDescent="0.25">
      <c r="A5" s="17" t="s">
        <v>234</v>
      </c>
      <c r="B5" s="18" t="s">
        <v>22</v>
      </c>
      <c r="C5" s="19" t="s">
        <v>17</v>
      </c>
      <c r="D5" s="20" t="s">
        <v>235</v>
      </c>
    </row>
    <row r="6" spans="1:4" x14ac:dyDescent="0.25">
      <c r="A6" s="17"/>
      <c r="B6" s="18" t="s">
        <v>31</v>
      </c>
      <c r="C6" s="19" t="s">
        <v>17</v>
      </c>
      <c r="D6" s="20" t="s">
        <v>236</v>
      </c>
    </row>
    <row r="7" spans="1:4" x14ac:dyDescent="0.25">
      <c r="A7" s="17"/>
      <c r="B7" s="18" t="s">
        <v>40</v>
      </c>
      <c r="C7" s="19" t="s">
        <v>17</v>
      </c>
      <c r="D7" s="20" t="s">
        <v>237</v>
      </c>
    </row>
    <row r="8" spans="1:4" x14ac:dyDescent="0.25">
      <c r="A8" s="17"/>
      <c r="B8" s="18" t="s">
        <v>238</v>
      </c>
      <c r="C8" s="19" t="s">
        <v>65</v>
      </c>
      <c r="D8" s="20" t="s">
        <v>239</v>
      </c>
    </row>
    <row r="9" spans="1:4" x14ac:dyDescent="0.25">
      <c r="A9" s="17"/>
      <c r="B9" s="18" t="s">
        <v>109</v>
      </c>
      <c r="C9" s="19" t="s">
        <v>110</v>
      </c>
      <c r="D9" s="20" t="s">
        <v>240</v>
      </c>
    </row>
    <row r="10" spans="1:4" x14ac:dyDescent="0.25">
      <c r="A10" s="17"/>
      <c r="B10" s="18" t="s">
        <v>241</v>
      </c>
      <c r="C10" s="19" t="s">
        <v>79</v>
      </c>
      <c r="D10" s="20" t="s">
        <v>242</v>
      </c>
    </row>
    <row r="11" spans="1:4" x14ac:dyDescent="0.25">
      <c r="A11" s="17" t="s">
        <v>243</v>
      </c>
      <c r="B11" s="18" t="s">
        <v>244</v>
      </c>
      <c r="C11" s="19" t="s">
        <v>17</v>
      </c>
      <c r="D11" s="20" t="s">
        <v>245</v>
      </c>
    </row>
    <row r="12" spans="1:4" x14ac:dyDescent="0.25">
      <c r="A12" s="17"/>
      <c r="B12" s="18" t="s">
        <v>246</v>
      </c>
      <c r="C12" s="19" t="s">
        <v>17</v>
      </c>
      <c r="D12" s="20" t="s">
        <v>247</v>
      </c>
    </row>
    <row r="13" spans="1:4" x14ac:dyDescent="0.25">
      <c r="A13" s="17"/>
      <c r="B13" s="18" t="s">
        <v>248</v>
      </c>
      <c r="C13" s="19" t="s">
        <v>65</v>
      </c>
      <c r="D13" s="20" t="s">
        <v>249</v>
      </c>
    </row>
    <row r="14" spans="1:4" x14ac:dyDescent="0.25">
      <c r="A14" s="17"/>
      <c r="B14" s="18" t="s">
        <v>250</v>
      </c>
      <c r="C14" s="19" t="s">
        <v>65</v>
      </c>
      <c r="D14" s="20" t="s">
        <v>251</v>
      </c>
    </row>
    <row r="15" spans="1:4" x14ac:dyDescent="0.25">
      <c r="A15" s="17"/>
      <c r="B15" s="18" t="s">
        <v>252</v>
      </c>
      <c r="C15" s="19" t="s">
        <v>110</v>
      </c>
      <c r="D15" s="20" t="s">
        <v>253</v>
      </c>
    </row>
    <row r="16" spans="1:4" x14ac:dyDescent="0.25">
      <c r="A16" s="17"/>
      <c r="B16" s="18" t="s">
        <v>254</v>
      </c>
      <c r="C16" s="19" t="s">
        <v>110</v>
      </c>
      <c r="D16" s="20" t="s">
        <v>255</v>
      </c>
    </row>
    <row r="17" spans="1:4" x14ac:dyDescent="0.25">
      <c r="A17" s="17"/>
      <c r="B17" s="18" t="s">
        <v>78</v>
      </c>
      <c r="C17" s="19" t="s">
        <v>79</v>
      </c>
      <c r="D17" s="20" t="s">
        <v>256</v>
      </c>
    </row>
    <row r="18" spans="1:4" x14ac:dyDescent="0.25">
      <c r="A18" s="17" t="s">
        <v>257</v>
      </c>
      <c r="B18" s="18" t="s">
        <v>16</v>
      </c>
      <c r="C18" s="19" t="s">
        <v>17</v>
      </c>
      <c r="D18" s="20" t="s">
        <v>258</v>
      </c>
    </row>
    <row r="19" spans="1:4" x14ac:dyDescent="0.25">
      <c r="A19" s="17"/>
      <c r="B19" s="18" t="s">
        <v>259</v>
      </c>
      <c r="C19" s="19" t="s">
        <v>260</v>
      </c>
      <c r="D19" s="20" t="s">
        <v>261</v>
      </c>
    </row>
    <row r="20" spans="1:4" x14ac:dyDescent="0.25">
      <c r="A20" s="17"/>
      <c r="B20" s="18" t="s">
        <v>74</v>
      </c>
      <c r="C20" s="19" t="s">
        <v>65</v>
      </c>
      <c r="D20" s="20" t="s">
        <v>262</v>
      </c>
    </row>
    <row r="21" spans="1:4" x14ac:dyDescent="0.25">
      <c r="A21" s="17"/>
      <c r="B21" s="18" t="s">
        <v>263</v>
      </c>
      <c r="C21" s="19" t="s">
        <v>65</v>
      </c>
      <c r="D21" s="20" t="s">
        <v>264</v>
      </c>
    </row>
    <row r="22" spans="1:4" x14ac:dyDescent="0.25">
      <c r="A22" s="17"/>
      <c r="B22" s="18" t="s">
        <v>265</v>
      </c>
      <c r="C22" s="19" t="s">
        <v>110</v>
      </c>
      <c r="D22" s="20" t="s">
        <v>266</v>
      </c>
    </row>
    <row r="23" spans="1:4" x14ac:dyDescent="0.25">
      <c r="A23" s="17"/>
      <c r="B23" s="18" t="s">
        <v>106</v>
      </c>
      <c r="C23" s="19" t="s">
        <v>79</v>
      </c>
      <c r="D23" s="20" t="s">
        <v>267</v>
      </c>
    </row>
    <row r="24" spans="1:4" x14ac:dyDescent="0.25">
      <c r="A24" s="17" t="s">
        <v>90</v>
      </c>
      <c r="B24" s="18" t="s">
        <v>91</v>
      </c>
      <c r="C24" s="19" t="s">
        <v>65</v>
      </c>
      <c r="D24" s="20" t="s">
        <v>268</v>
      </c>
    </row>
    <row r="25" spans="1:4" x14ac:dyDescent="0.25">
      <c r="A25" s="17"/>
      <c r="B25" s="18" t="s">
        <v>269</v>
      </c>
      <c r="C25" s="19" t="s">
        <v>110</v>
      </c>
      <c r="D25" s="20" t="s">
        <v>270</v>
      </c>
    </row>
    <row r="26" spans="1:4" x14ac:dyDescent="0.25">
      <c r="A26" s="17"/>
      <c r="B26" s="18" t="s">
        <v>271</v>
      </c>
      <c r="C26" s="19" t="s">
        <v>110</v>
      </c>
      <c r="D26" s="20" t="s">
        <v>272</v>
      </c>
    </row>
    <row r="27" spans="1:4" x14ac:dyDescent="0.25">
      <c r="A27" s="17"/>
      <c r="B27" s="18" t="s">
        <v>273</v>
      </c>
      <c r="C27" s="19" t="s">
        <v>79</v>
      </c>
      <c r="D27" s="20" t="s">
        <v>274</v>
      </c>
    </row>
    <row r="28" spans="1:4" x14ac:dyDescent="0.25">
      <c r="A28" s="17" t="s">
        <v>275</v>
      </c>
      <c r="B28" s="18" t="s">
        <v>276</v>
      </c>
      <c r="C28" s="19" t="s">
        <v>65</v>
      </c>
      <c r="D28" s="20" t="s">
        <v>277</v>
      </c>
    </row>
    <row r="29" spans="1:4" x14ac:dyDescent="0.25">
      <c r="A29" s="17"/>
      <c r="B29" s="18" t="s">
        <v>67</v>
      </c>
      <c r="C29" s="19" t="s">
        <v>65</v>
      </c>
      <c r="D29" s="20" t="s">
        <v>278</v>
      </c>
    </row>
    <row r="30" spans="1:4" x14ac:dyDescent="0.25">
      <c r="A30" s="17"/>
      <c r="B30" s="18" t="s">
        <v>64</v>
      </c>
      <c r="C30" s="19" t="s">
        <v>65</v>
      </c>
      <c r="D30" s="20" t="s">
        <v>279</v>
      </c>
    </row>
    <row r="31" spans="1:4" x14ac:dyDescent="0.25">
      <c r="A31" s="17"/>
      <c r="B31" s="18" t="s">
        <v>280</v>
      </c>
      <c r="C31" s="19" t="s">
        <v>110</v>
      </c>
      <c r="D31" s="20" t="s">
        <v>281</v>
      </c>
    </row>
    <row r="32" spans="1:4" x14ac:dyDescent="0.25">
      <c r="A32" s="17"/>
      <c r="B32" s="18" t="s">
        <v>282</v>
      </c>
      <c r="C32" s="19" t="s">
        <v>110</v>
      </c>
      <c r="D32" s="20" t="s">
        <v>283</v>
      </c>
    </row>
    <row r="33" spans="1:4" x14ac:dyDescent="0.25">
      <c r="A33" s="17"/>
      <c r="B33" s="18" t="s">
        <v>284</v>
      </c>
      <c r="C33" s="19" t="s">
        <v>79</v>
      </c>
      <c r="D33" s="20" t="s">
        <v>285</v>
      </c>
    </row>
    <row r="34" spans="1:4" x14ac:dyDescent="0.25">
      <c r="A34" s="17"/>
      <c r="B34" s="18" t="s">
        <v>286</v>
      </c>
      <c r="C34" s="19" t="s">
        <v>79</v>
      </c>
      <c r="D34" s="20" t="s">
        <v>287</v>
      </c>
    </row>
    <row r="35" spans="1:4" x14ac:dyDescent="0.25">
      <c r="A35" s="17" t="s">
        <v>288</v>
      </c>
      <c r="B35" s="18" t="s">
        <v>289</v>
      </c>
      <c r="C35" s="19" t="s">
        <v>17</v>
      </c>
      <c r="D35" s="20" t="s">
        <v>290</v>
      </c>
    </row>
    <row r="36" spans="1:4" x14ac:dyDescent="0.25">
      <c r="A36" s="17"/>
      <c r="B36" s="18" t="s">
        <v>291</v>
      </c>
      <c r="C36" s="19" t="s">
        <v>17</v>
      </c>
      <c r="D36" s="20" t="s">
        <v>292</v>
      </c>
    </row>
    <row r="37" spans="1:4" x14ac:dyDescent="0.25">
      <c r="A37" s="17"/>
      <c r="B37" s="18" t="s">
        <v>293</v>
      </c>
      <c r="C37" s="19" t="s">
        <v>65</v>
      </c>
      <c r="D37" s="20" t="s">
        <v>294</v>
      </c>
    </row>
    <row r="38" spans="1:4" x14ac:dyDescent="0.25">
      <c r="A38" s="17"/>
      <c r="B38" s="18" t="s">
        <v>295</v>
      </c>
      <c r="C38" s="19" t="s">
        <v>110</v>
      </c>
      <c r="D38" s="20" t="s">
        <v>296</v>
      </c>
    </row>
    <row r="39" spans="1:4" x14ac:dyDescent="0.25">
      <c r="A39" s="17"/>
      <c r="B39" s="18" t="s">
        <v>297</v>
      </c>
      <c r="C39" s="19" t="s">
        <v>79</v>
      </c>
      <c r="D39" s="20" t="s">
        <v>298</v>
      </c>
    </row>
    <row r="40" spans="1:4" x14ac:dyDescent="0.25">
      <c r="A40" s="17"/>
      <c r="B40" s="18" t="s">
        <v>299</v>
      </c>
      <c r="C40" s="19" t="s">
        <v>79</v>
      </c>
      <c r="D40" s="20" t="s">
        <v>300</v>
      </c>
    </row>
    <row r="41" spans="1:4" x14ac:dyDescent="0.25">
      <c r="A41" s="17" t="s">
        <v>301</v>
      </c>
      <c r="B41" s="18" t="s">
        <v>302</v>
      </c>
      <c r="C41" s="19" t="s">
        <v>17</v>
      </c>
      <c r="D41" s="20" t="s">
        <v>303</v>
      </c>
    </row>
    <row r="42" spans="1:4" x14ac:dyDescent="0.25">
      <c r="A42" s="17"/>
      <c r="B42" s="18" t="s">
        <v>304</v>
      </c>
      <c r="C42" s="19" t="s">
        <v>65</v>
      </c>
      <c r="D42" s="20" t="s">
        <v>305</v>
      </c>
    </row>
    <row r="43" spans="1:4" x14ac:dyDescent="0.25">
      <c r="A43" s="17"/>
      <c r="B43" s="18" t="s">
        <v>301</v>
      </c>
      <c r="C43" s="19" t="s">
        <v>110</v>
      </c>
      <c r="D43" s="20" t="s">
        <v>306</v>
      </c>
    </row>
    <row r="44" spans="1:4" x14ac:dyDescent="0.25">
      <c r="A44" s="17"/>
      <c r="B44" s="18" t="s">
        <v>307</v>
      </c>
      <c r="C44" s="19" t="s">
        <v>79</v>
      </c>
      <c r="D44" s="20" t="s">
        <v>308</v>
      </c>
    </row>
    <row r="45" spans="1:4" x14ac:dyDescent="0.25">
      <c r="A45" s="17" t="s">
        <v>309</v>
      </c>
      <c r="B45" s="18" t="s">
        <v>310</v>
      </c>
      <c r="C45" s="19" t="s">
        <v>110</v>
      </c>
      <c r="D45" s="20" t="s">
        <v>311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10"/>
  <sheetViews>
    <sheetView showGridLines="0" workbookViewId="0"/>
  </sheetViews>
  <sheetFormatPr baseColWidth="10" defaultColWidth="9.140625" defaultRowHeight="15" x14ac:dyDescent="0.25"/>
  <cols>
    <col min="1" max="1" width="26" customWidth="1"/>
    <col min="2" max="3" width="22" customWidth="1"/>
    <col min="4" max="4" width="70" customWidth="1"/>
    <col min="5" max="5" width="46" customWidth="1"/>
    <col min="6" max="6" width="30" customWidth="1"/>
  </cols>
  <sheetData>
    <row r="2" spans="1:6" ht="20.25" x14ac:dyDescent="0.3">
      <c r="A2" s="42" t="s">
        <v>312</v>
      </c>
    </row>
    <row r="3" spans="1:6" x14ac:dyDescent="0.25">
      <c r="A3" s="43" t="s">
        <v>313</v>
      </c>
    </row>
    <row r="4" spans="1:6" x14ac:dyDescent="0.25">
      <c r="A4" s="34" t="s">
        <v>314</v>
      </c>
      <c r="B4" s="34" t="s">
        <v>231</v>
      </c>
      <c r="C4" s="34" t="s">
        <v>10</v>
      </c>
      <c r="D4" s="34" t="s">
        <v>233</v>
      </c>
      <c r="E4" s="34" t="s">
        <v>315</v>
      </c>
      <c r="F4" s="34" t="s">
        <v>316</v>
      </c>
    </row>
    <row r="5" spans="1:6" ht="51" x14ac:dyDescent="0.25">
      <c r="A5" s="44" t="s">
        <v>317</v>
      </c>
      <c r="B5" s="45" t="s">
        <v>96</v>
      </c>
      <c r="C5" s="35" t="s">
        <v>97</v>
      </c>
      <c r="D5" s="46" t="s">
        <v>318</v>
      </c>
      <c r="E5" s="46" t="s">
        <v>319</v>
      </c>
      <c r="F5" s="46" t="s">
        <v>320</v>
      </c>
    </row>
    <row r="6" spans="1:6" ht="38.25" x14ac:dyDescent="0.25">
      <c r="A6" s="44" t="s">
        <v>317</v>
      </c>
      <c r="B6" s="45" t="s">
        <v>102</v>
      </c>
      <c r="C6" s="35" t="s">
        <v>103</v>
      </c>
      <c r="D6" s="46" t="s">
        <v>321</v>
      </c>
      <c r="E6" s="46" t="s">
        <v>322</v>
      </c>
      <c r="F6" s="46" t="s">
        <v>320</v>
      </c>
    </row>
    <row r="7" spans="1:6" ht="38.25" x14ac:dyDescent="0.25">
      <c r="A7" s="44" t="s">
        <v>323</v>
      </c>
      <c r="B7" s="45" t="s">
        <v>83</v>
      </c>
      <c r="C7" s="35" t="s">
        <v>84</v>
      </c>
      <c r="D7" s="46" t="s">
        <v>324</v>
      </c>
      <c r="E7" s="46" t="s">
        <v>325</v>
      </c>
      <c r="F7" s="46" t="s">
        <v>326</v>
      </c>
    </row>
    <row r="8" spans="1:6" ht="25.5" x14ac:dyDescent="0.25">
      <c r="A8" s="44" t="s">
        <v>323</v>
      </c>
      <c r="B8" s="45" t="s">
        <v>327</v>
      </c>
      <c r="C8" s="35" t="s">
        <v>84</v>
      </c>
      <c r="D8" s="46" t="s">
        <v>328</v>
      </c>
      <c r="E8" s="46" t="s">
        <v>329</v>
      </c>
      <c r="F8" s="46" t="s">
        <v>326</v>
      </c>
    </row>
    <row r="9" spans="1:6" ht="38.25" x14ac:dyDescent="0.25">
      <c r="A9" s="44" t="s">
        <v>330</v>
      </c>
      <c r="B9" s="45" t="s">
        <v>331</v>
      </c>
      <c r="C9" s="35" t="s">
        <v>332</v>
      </c>
      <c r="D9" s="46" t="s">
        <v>333</v>
      </c>
      <c r="E9" s="46" t="s">
        <v>334</v>
      </c>
      <c r="F9" s="46" t="s">
        <v>335</v>
      </c>
    </row>
    <row r="10" spans="1:6" ht="25.5" x14ac:dyDescent="0.25">
      <c r="A10" s="44" t="s">
        <v>330</v>
      </c>
      <c r="B10" s="45" t="s">
        <v>336</v>
      </c>
      <c r="C10" s="35" t="s">
        <v>332</v>
      </c>
      <c r="D10" s="46" t="s">
        <v>337</v>
      </c>
      <c r="E10" s="46" t="s">
        <v>338</v>
      </c>
      <c r="F10" s="46" t="s">
        <v>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8"/>
  <sheetViews>
    <sheetView showGridLines="0" topLeftCell="J1" zoomScaleNormal="100" workbookViewId="0">
      <pane ySplit="2" topLeftCell="A34" activePane="bottomLeft" state="frozen"/>
      <selection pane="bottomLeft" activeCell="Q40" sqref="Q40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hidden="1" customWidth="1"/>
    <col min="8" max="8" width="20" hidden="1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339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35" t="s">
        <v>19</v>
      </c>
      <c r="J6" s="35" t="s">
        <v>19</v>
      </c>
      <c r="K6" s="35" t="s">
        <v>19</v>
      </c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7" t="s">
        <v>19</v>
      </c>
      <c r="E8" s="28" t="s">
        <v>19</v>
      </c>
      <c r="F8" s="29" t="s">
        <v>25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>IF(OR(F8="Encaje perfecto",K8="Encaje perfecto"),"Encaje perfecto",IF(OR(F8="Encaje parcial",K8="Encaje parcial"),"Encaje parcial","No encaja"))</f>
        <v>No encaja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>IF(OR(F9="Encaje perfecto",K9="Encaje perfecto"),"Encaje perfecto",IF(OR(F9="Encaje parcial",K9="Encaje parcial"),"Encaje parcial","No encaja"))</f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341</v>
      </c>
      <c r="C22" s="23" t="s">
        <v>21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ht="25.5" customHeight="1" x14ac:dyDescent="0.25">
      <c r="A23" s="22">
        <v>3</v>
      </c>
      <c r="B23" s="23" t="s">
        <v>54</v>
      </c>
      <c r="C23" s="23" t="s">
        <v>24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55</v>
      </c>
      <c r="C24" s="23" t="s">
        <v>56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57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58</v>
      </c>
      <c r="C26" s="23" t="s">
        <v>59</v>
      </c>
      <c r="D26" s="27" t="s">
        <v>19</v>
      </c>
      <c r="E26" s="28" t="s">
        <v>19</v>
      </c>
      <c r="F26" s="29" t="s">
        <v>25</v>
      </c>
      <c r="G26" s="26" t="s">
        <v>60</v>
      </c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61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x14ac:dyDescent="0.25">
      <c r="A28" s="22">
        <v>4</v>
      </c>
      <c r="B28" s="23" t="s">
        <v>342</v>
      </c>
      <c r="C28" s="23" t="s">
        <v>148</v>
      </c>
      <c r="D28" s="27" t="s">
        <v>19</v>
      </c>
      <c r="E28" s="28" t="s">
        <v>19</v>
      </c>
      <c r="F28" s="29" t="s">
        <v>25</v>
      </c>
      <c r="G28" s="26"/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4</v>
      </c>
      <c r="B29" s="23" t="s">
        <v>343</v>
      </c>
      <c r="C29" s="23" t="s">
        <v>51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344</v>
      </c>
      <c r="C30" s="23" t="s">
        <v>21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ref="M30" si="1">IF(OR(F30="Encaje perfecto",K30="Encaje perfecto"),"Encaje perfecto",IF(OR(F30="Encaje parcial",K30="Encaje parcial"),"Encaje parcial","No encaja"))</f>
        <v>No encaja</v>
      </c>
    </row>
    <row r="31" spans="1:13" x14ac:dyDescent="0.25">
      <c r="A31" s="22">
        <v>4</v>
      </c>
      <c r="B31" s="23" t="s">
        <v>346</v>
      </c>
      <c r="C31" s="23" t="s">
        <v>347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2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348</v>
      </c>
      <c r="C36" s="23" t="s">
        <v>148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2"/>
        <v>No encaja</v>
      </c>
    </row>
    <row r="37" spans="1:13" x14ac:dyDescent="0.25">
      <c r="A37" s="22">
        <v>5</v>
      </c>
      <c r="B37" s="23" t="s">
        <v>349</v>
      </c>
      <c r="C37" s="23" t="s">
        <v>27</v>
      </c>
      <c r="D37" s="24" t="s">
        <v>74</v>
      </c>
      <c r="E37" s="22" t="s">
        <v>65</v>
      </c>
      <c r="F37" s="25" t="s">
        <v>18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2"/>
        <v>Encaje perfecto</v>
      </c>
    </row>
    <row r="38" spans="1:13" x14ac:dyDescent="0.25">
      <c r="A38" s="22">
        <v>5</v>
      </c>
      <c r="B38" s="23" t="s">
        <v>350</v>
      </c>
      <c r="C38" s="23" t="s">
        <v>21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2"/>
        <v>No encaja</v>
      </c>
    </row>
    <row r="39" spans="1:13" x14ac:dyDescent="0.25">
      <c r="A39" s="22">
        <v>5</v>
      </c>
      <c r="B39" s="23" t="s">
        <v>351</v>
      </c>
      <c r="C39" s="23" t="s">
        <v>309</v>
      </c>
      <c r="D39" s="24" t="s">
        <v>310</v>
      </c>
      <c r="E39" s="22" t="s">
        <v>110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2"/>
        <v>Encaje perfecto</v>
      </c>
    </row>
    <row r="40" spans="1:13" ht="25.5" customHeight="1" x14ac:dyDescent="0.25">
      <c r="A40" s="22">
        <v>5</v>
      </c>
      <c r="B40" s="23" t="s">
        <v>80</v>
      </c>
      <c r="C40" s="23" t="s">
        <v>81</v>
      </c>
      <c r="D40" s="27" t="s">
        <v>19</v>
      </c>
      <c r="E40" s="28" t="s">
        <v>19</v>
      </c>
      <c r="F40" s="29" t="s">
        <v>25</v>
      </c>
      <c r="G40" s="26" t="s">
        <v>82</v>
      </c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2"/>
        <v>No encaja</v>
      </c>
    </row>
    <row r="41" spans="1:13" ht="25.5" customHeight="1" x14ac:dyDescent="0.25">
      <c r="A41" s="22">
        <v>5</v>
      </c>
      <c r="B41" s="23" t="s">
        <v>87</v>
      </c>
      <c r="C41" s="23" t="s">
        <v>24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2"/>
        <v>No encaja</v>
      </c>
    </row>
    <row r="42" spans="1:13" x14ac:dyDescent="0.25">
      <c r="A42" s="22">
        <v>5</v>
      </c>
      <c r="B42" s="23" t="s">
        <v>88</v>
      </c>
      <c r="C42" s="23" t="s">
        <v>56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2"/>
        <v>No encaja</v>
      </c>
    </row>
    <row r="43" spans="1:13" ht="51" x14ac:dyDescent="0.25">
      <c r="A43" s="22">
        <v>5</v>
      </c>
      <c r="B43" s="23" t="s">
        <v>89</v>
      </c>
      <c r="C43" s="23" t="s">
        <v>90</v>
      </c>
      <c r="D43" s="24" t="s">
        <v>91</v>
      </c>
      <c r="E43" s="22" t="s">
        <v>65</v>
      </c>
      <c r="F43" s="30" t="s">
        <v>85</v>
      </c>
      <c r="G43" s="26"/>
      <c r="H43" s="23"/>
      <c r="I43" s="45" t="s">
        <v>102</v>
      </c>
      <c r="J43" s="35" t="s">
        <v>103</v>
      </c>
      <c r="K43" s="48" t="s">
        <v>85</v>
      </c>
      <c r="L43" s="47" t="s">
        <v>345</v>
      </c>
      <c r="M43" s="35" t="str">
        <f>IF(OR(F43="Encaje perfecto",K43="Encaje perfecto"),"Encaje perfecto",IF(OR(F43="Encaje parcial",K43="Encaje parcial"),"Encaje parcial","No encaja"))</f>
        <v>Encaje parcial</v>
      </c>
    </row>
    <row r="44" spans="1:13" ht="25.5" customHeight="1" x14ac:dyDescent="0.25">
      <c r="A44" s="22">
        <v>5</v>
      </c>
      <c r="B44" s="23" t="s">
        <v>92</v>
      </c>
      <c r="C44" s="23" t="s">
        <v>59</v>
      </c>
      <c r="D44" s="27" t="s">
        <v>19</v>
      </c>
      <c r="E44" s="28" t="s">
        <v>19</v>
      </c>
      <c r="F44" s="29" t="s">
        <v>25</v>
      </c>
      <c r="G44" s="26" t="s">
        <v>60</v>
      </c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2"/>
        <v>No encaja</v>
      </c>
    </row>
    <row r="45" spans="1:13" x14ac:dyDescent="0.25">
      <c r="A45" s="22">
        <v>6</v>
      </c>
      <c r="B45" s="23" t="s">
        <v>352</v>
      </c>
      <c r="C45" s="23" t="s">
        <v>148</v>
      </c>
      <c r="D45" s="27" t="s">
        <v>19</v>
      </c>
      <c r="E45" s="28" t="s">
        <v>19</v>
      </c>
      <c r="F45" s="29" t="s">
        <v>25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2"/>
        <v>No encaja</v>
      </c>
    </row>
    <row r="46" spans="1:13" x14ac:dyDescent="0.25">
      <c r="A46" s="22">
        <v>6</v>
      </c>
      <c r="B46" s="23" t="s">
        <v>353</v>
      </c>
      <c r="C46" s="23" t="s">
        <v>354</v>
      </c>
      <c r="D46" s="27" t="s">
        <v>19</v>
      </c>
      <c r="E46" s="28" t="s">
        <v>19</v>
      </c>
      <c r="F46" s="29" t="s">
        <v>25</v>
      </c>
      <c r="G46" s="26"/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2"/>
        <v>No encaja</v>
      </c>
    </row>
    <row r="47" spans="1:13" x14ac:dyDescent="0.25">
      <c r="A47" s="22">
        <v>6</v>
      </c>
      <c r="B47" s="23" t="s">
        <v>355</v>
      </c>
      <c r="C47" s="23" t="s">
        <v>95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2"/>
        <v>No encaja</v>
      </c>
    </row>
    <row r="48" spans="1:13" x14ac:dyDescent="0.25">
      <c r="A48" s="22">
        <v>6</v>
      </c>
      <c r="B48" s="23" t="s">
        <v>356</v>
      </c>
      <c r="C48" s="23" t="s">
        <v>357</v>
      </c>
      <c r="D48" s="24" t="s">
        <v>282</v>
      </c>
      <c r="E48" s="22" t="s">
        <v>110</v>
      </c>
      <c r="F48" s="30" t="s">
        <v>85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2"/>
        <v>Encaje parcial</v>
      </c>
    </row>
    <row r="49" spans="1:13" x14ac:dyDescent="0.25">
      <c r="A49" s="22">
        <v>6</v>
      </c>
      <c r="B49" s="23" t="s">
        <v>358</v>
      </c>
      <c r="C49" s="23" t="s">
        <v>108</v>
      </c>
      <c r="D49" s="24" t="s">
        <v>284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2"/>
        <v>Encaje perfecto</v>
      </c>
    </row>
    <row r="50" spans="1:13" x14ac:dyDescent="0.25">
      <c r="A50" s="22">
        <v>6</v>
      </c>
      <c r="B50" s="23" t="s">
        <v>359</v>
      </c>
      <c r="C50" s="23" t="s">
        <v>359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2"/>
        <v>No encaja</v>
      </c>
    </row>
    <row r="51" spans="1:13" ht="51" x14ac:dyDescent="0.25">
      <c r="A51" s="22">
        <v>6</v>
      </c>
      <c r="B51" s="23" t="s">
        <v>360</v>
      </c>
      <c r="C51" s="23" t="s">
        <v>108</v>
      </c>
      <c r="D51" s="27" t="s">
        <v>19</v>
      </c>
      <c r="E51" s="28" t="s">
        <v>19</v>
      </c>
      <c r="F51" s="29" t="s">
        <v>25</v>
      </c>
      <c r="G51" s="26"/>
      <c r="H51" s="23"/>
      <c r="I51" s="45" t="s">
        <v>361</v>
      </c>
      <c r="J51" s="35" t="s">
        <v>84</v>
      </c>
      <c r="K51" s="49" t="s">
        <v>18</v>
      </c>
      <c r="L51" s="47" t="s">
        <v>362</v>
      </c>
      <c r="M51" s="35" t="str">
        <f t="shared" si="2"/>
        <v>Encaje perfecto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30" t="s">
        <v>85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2"/>
        <v>Encaje parcial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2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2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2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2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2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2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2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2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2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2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2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2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2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2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2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2"/>
        <v>No encaja</v>
      </c>
    </row>
  </sheetData>
  <conditionalFormatting sqref="M3:M68">
    <cfRule type="cellIs" dxfId="29" priority="1" operator="equal">
      <formula>"Encaje perfecto"</formula>
    </cfRule>
    <cfRule type="cellIs" dxfId="28" priority="2" operator="equal">
      <formula>"Encaje parcial"</formula>
    </cfRule>
    <cfRule type="cellIs" dxfId="27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8"/>
  <sheetViews>
    <sheetView showGridLines="0" topLeftCell="G1" zoomScaleNormal="100" workbookViewId="0">
      <pane ySplit="2" topLeftCell="A25" activePane="bottomLeft" state="frozen"/>
      <selection pane="bottomLeft" activeCell="L32" sqref="L32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363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7" t="s">
        <v>19</v>
      </c>
      <c r="E8" s="28" t="s">
        <v>19</v>
      </c>
      <c r="F8" s="29" t="s">
        <v>25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No encaja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341</v>
      </c>
      <c r="C22" s="23" t="s">
        <v>21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ht="25.5" customHeight="1" x14ac:dyDescent="0.25">
      <c r="A23" s="22">
        <v>3</v>
      </c>
      <c r="B23" s="23" t="s">
        <v>54</v>
      </c>
      <c r="C23" s="23" t="s">
        <v>24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55</v>
      </c>
      <c r="C24" s="23" t="s">
        <v>56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57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58</v>
      </c>
      <c r="C26" s="23" t="s">
        <v>59</v>
      </c>
      <c r="D26" s="27" t="s">
        <v>19</v>
      </c>
      <c r="E26" s="28" t="s">
        <v>19</v>
      </c>
      <c r="F26" s="29" t="s">
        <v>25</v>
      </c>
      <c r="G26" s="26" t="s">
        <v>60</v>
      </c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61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x14ac:dyDescent="0.25">
      <c r="A28" s="22">
        <v>4</v>
      </c>
      <c r="B28" s="23" t="s">
        <v>342</v>
      </c>
      <c r="C28" s="23" t="s">
        <v>148</v>
      </c>
      <c r="D28" s="27" t="s">
        <v>19</v>
      </c>
      <c r="E28" s="28" t="s">
        <v>19</v>
      </c>
      <c r="F28" s="29" t="s">
        <v>25</v>
      </c>
      <c r="G28" s="26"/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4</v>
      </c>
      <c r="B29" s="23" t="s">
        <v>343</v>
      </c>
      <c r="C29" s="23" t="s">
        <v>51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344</v>
      </c>
      <c r="C30" s="23" t="s">
        <v>21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x14ac:dyDescent="0.25">
      <c r="A31" s="22">
        <v>4</v>
      </c>
      <c r="B31" s="23" t="s">
        <v>346</v>
      </c>
      <c r="C31" s="23" t="s">
        <v>347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348</v>
      </c>
      <c r="C36" s="23" t="s">
        <v>148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x14ac:dyDescent="0.25">
      <c r="A37" s="22">
        <v>5</v>
      </c>
      <c r="B37" s="23" t="s">
        <v>349</v>
      </c>
      <c r="C37" s="23" t="s">
        <v>27</v>
      </c>
      <c r="D37" s="24" t="s">
        <v>74</v>
      </c>
      <c r="E37" s="22" t="s">
        <v>65</v>
      </c>
      <c r="F37" s="25" t="s">
        <v>18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Encaje perfecto</v>
      </c>
    </row>
    <row r="38" spans="1:13" x14ac:dyDescent="0.25">
      <c r="A38" s="22">
        <v>5</v>
      </c>
      <c r="B38" s="23" t="s">
        <v>350</v>
      </c>
      <c r="C38" s="23" t="s">
        <v>21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351</v>
      </c>
      <c r="C39" s="23" t="s">
        <v>309</v>
      </c>
      <c r="D39" s="24" t="s">
        <v>310</v>
      </c>
      <c r="E39" s="22" t="s">
        <v>110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Encaje perfecto</v>
      </c>
    </row>
    <row r="40" spans="1:13" ht="25.5" customHeight="1" x14ac:dyDescent="0.25">
      <c r="A40" s="22">
        <v>5</v>
      </c>
      <c r="B40" s="23" t="s">
        <v>80</v>
      </c>
      <c r="C40" s="23" t="s">
        <v>81</v>
      </c>
      <c r="D40" s="27" t="s">
        <v>19</v>
      </c>
      <c r="E40" s="28" t="s">
        <v>19</v>
      </c>
      <c r="F40" s="29" t="s">
        <v>25</v>
      </c>
      <c r="G40" s="26" t="s">
        <v>82</v>
      </c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ht="25.5" customHeight="1" x14ac:dyDescent="0.25">
      <c r="A41" s="22">
        <v>5</v>
      </c>
      <c r="B41" s="23" t="s">
        <v>87</v>
      </c>
      <c r="C41" s="23" t="s">
        <v>24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88</v>
      </c>
      <c r="C42" s="23" t="s">
        <v>56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ht="51" x14ac:dyDescent="0.25">
      <c r="A43" s="22">
        <v>5</v>
      </c>
      <c r="B43" s="23" t="s">
        <v>89</v>
      </c>
      <c r="C43" s="23" t="s">
        <v>90</v>
      </c>
      <c r="D43" s="24" t="s">
        <v>91</v>
      </c>
      <c r="E43" s="22" t="s">
        <v>65</v>
      </c>
      <c r="F43" s="30" t="s">
        <v>85</v>
      </c>
      <c r="G43" s="26"/>
      <c r="H43" s="23"/>
      <c r="I43" s="45" t="s">
        <v>102</v>
      </c>
      <c r="J43" s="35" t="s">
        <v>103</v>
      </c>
      <c r="K43" s="48" t="s">
        <v>85</v>
      </c>
      <c r="L43" s="47" t="s">
        <v>345</v>
      </c>
      <c r="M43" s="35" t="str">
        <f t="shared" si="1"/>
        <v>Encaje parcial</v>
      </c>
    </row>
    <row r="44" spans="1:13" ht="25.5" customHeight="1" x14ac:dyDescent="0.25">
      <c r="A44" s="22">
        <v>5</v>
      </c>
      <c r="B44" s="23" t="s">
        <v>92</v>
      </c>
      <c r="C44" s="23" t="s">
        <v>59</v>
      </c>
      <c r="D44" s="27" t="s">
        <v>19</v>
      </c>
      <c r="E44" s="28" t="s">
        <v>19</v>
      </c>
      <c r="F44" s="29" t="s">
        <v>25</v>
      </c>
      <c r="G44" s="26" t="s">
        <v>60</v>
      </c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6</v>
      </c>
      <c r="B45" s="23" t="s">
        <v>352</v>
      </c>
      <c r="C45" s="23" t="s">
        <v>148</v>
      </c>
      <c r="D45" s="27" t="s">
        <v>19</v>
      </c>
      <c r="E45" s="28" t="s">
        <v>19</v>
      </c>
      <c r="F45" s="29" t="s">
        <v>25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x14ac:dyDescent="0.25">
      <c r="A46" s="22">
        <v>6</v>
      </c>
      <c r="B46" s="23" t="s">
        <v>353</v>
      </c>
      <c r="C46" s="23" t="s">
        <v>354</v>
      </c>
      <c r="D46" s="27" t="s">
        <v>19</v>
      </c>
      <c r="E46" s="28" t="s">
        <v>19</v>
      </c>
      <c r="F46" s="29" t="s">
        <v>25</v>
      </c>
      <c r="G46" s="26"/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No encaja</v>
      </c>
    </row>
    <row r="47" spans="1:13" x14ac:dyDescent="0.25">
      <c r="A47" s="22">
        <v>6</v>
      </c>
      <c r="B47" s="23" t="s">
        <v>355</v>
      </c>
      <c r="C47" s="23" t="s">
        <v>95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356</v>
      </c>
      <c r="C48" s="23" t="s">
        <v>357</v>
      </c>
      <c r="D48" s="24" t="s">
        <v>282</v>
      </c>
      <c r="E48" s="22" t="s">
        <v>110</v>
      </c>
      <c r="F48" s="30" t="s">
        <v>85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Encaje parcial</v>
      </c>
    </row>
    <row r="49" spans="1:13" x14ac:dyDescent="0.25">
      <c r="A49" s="22">
        <v>6</v>
      </c>
      <c r="B49" s="23" t="s">
        <v>358</v>
      </c>
      <c r="C49" s="23" t="s">
        <v>108</v>
      </c>
      <c r="D49" s="24" t="s">
        <v>284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perfecto</v>
      </c>
    </row>
    <row r="50" spans="1:13" x14ac:dyDescent="0.25">
      <c r="A50" s="22">
        <v>6</v>
      </c>
      <c r="B50" s="23" t="s">
        <v>359</v>
      </c>
      <c r="C50" s="23" t="s">
        <v>359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ht="51" x14ac:dyDescent="0.25">
      <c r="A51" s="22">
        <v>6</v>
      </c>
      <c r="B51" s="23" t="s">
        <v>360</v>
      </c>
      <c r="C51" s="23" t="s">
        <v>108</v>
      </c>
      <c r="D51" s="27" t="s">
        <v>19</v>
      </c>
      <c r="E51" s="28" t="s">
        <v>19</v>
      </c>
      <c r="F51" s="29" t="s">
        <v>25</v>
      </c>
      <c r="G51" s="26"/>
      <c r="H51" s="23"/>
      <c r="I51" s="45" t="s">
        <v>361</v>
      </c>
      <c r="J51" s="35" t="s">
        <v>84</v>
      </c>
      <c r="K51" s="49" t="s">
        <v>18</v>
      </c>
      <c r="L51" s="47" t="s">
        <v>362</v>
      </c>
      <c r="M51" s="35" t="str">
        <f t="shared" si="1"/>
        <v>Encaje perfecto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30" t="s">
        <v>85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parcial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26" priority="1" operator="equal">
      <formula>"Encaje perfecto"</formula>
    </cfRule>
    <cfRule type="cellIs" dxfId="25" priority="2" operator="equal">
      <formula>"Encaje parcial"</formula>
    </cfRule>
    <cfRule type="cellIs" dxfId="24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67"/>
  <sheetViews>
    <sheetView showGridLines="0" tabSelected="1" topLeftCell="G1" zoomScaleNormal="100" workbookViewId="0">
      <pane ySplit="2" topLeftCell="A34" activePane="bottomLeft" state="frozen"/>
      <selection pane="bottomLeft" activeCell="L43" sqref="L43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364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7" t="s">
        <v>19</v>
      </c>
      <c r="E8" s="28" t="s">
        <v>19</v>
      </c>
      <c r="F8" s="29" t="s">
        <v>25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No encaja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365</v>
      </c>
      <c r="C21" s="23" t="s">
        <v>365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366</v>
      </c>
      <c r="C22" s="23" t="s">
        <v>367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ht="25.5" customHeight="1" x14ac:dyDescent="0.25">
      <c r="A23" s="22">
        <v>3</v>
      </c>
      <c r="B23" s="23" t="s">
        <v>368</v>
      </c>
      <c r="C23" s="23" t="s">
        <v>367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369</v>
      </c>
      <c r="C24" s="23" t="s">
        <v>367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346</v>
      </c>
      <c r="C30" s="23" t="s">
        <v>347</v>
      </c>
      <c r="D30" s="27" t="s">
        <v>19</v>
      </c>
      <c r="E30" s="28" t="s">
        <v>19</v>
      </c>
      <c r="F30" s="29" t="s">
        <v>25</v>
      </c>
      <c r="G30" s="26"/>
      <c r="H30" s="23"/>
      <c r="M30" s="35" t="str">
        <f t="shared" si="0"/>
        <v>No encaja</v>
      </c>
    </row>
    <row r="31" spans="1:13" x14ac:dyDescent="0.25">
      <c r="A31" s="22">
        <v>4</v>
      </c>
      <c r="B31" s="23" t="s">
        <v>371</v>
      </c>
      <c r="C31" s="23" t="s">
        <v>367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x14ac:dyDescent="0.25">
      <c r="A32" s="22">
        <v>4</v>
      </c>
      <c r="B32" s="23" t="s">
        <v>372</v>
      </c>
      <c r="C32" s="23" t="s">
        <v>76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373</v>
      </c>
      <c r="C33" s="23" t="s">
        <v>374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7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375</v>
      </c>
      <c r="C38" s="23" t="s">
        <v>309</v>
      </c>
      <c r="D38" s="24" t="s">
        <v>310</v>
      </c>
      <c r="E38" s="22" t="s">
        <v>110</v>
      </c>
      <c r="F38" s="25" t="s">
        <v>18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Encaje perfecto</v>
      </c>
    </row>
    <row r="39" spans="1:13" x14ac:dyDescent="0.25">
      <c r="A39" s="22">
        <v>5</v>
      </c>
      <c r="B39" s="23" t="s">
        <v>376</v>
      </c>
      <c r="C39" s="23" t="s">
        <v>76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377</v>
      </c>
      <c r="C40" s="23" t="s">
        <v>76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ht="25.5" customHeight="1" x14ac:dyDescent="0.25">
      <c r="A41" s="22">
        <v>5</v>
      </c>
      <c r="B41" s="23" t="s">
        <v>80</v>
      </c>
      <c r="C41" s="23" t="s">
        <v>81</v>
      </c>
      <c r="D41" s="27" t="s">
        <v>19</v>
      </c>
      <c r="E41" s="28" t="s">
        <v>19</v>
      </c>
      <c r="F41" s="29" t="s">
        <v>25</v>
      </c>
      <c r="G41" s="26" t="s">
        <v>82</v>
      </c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ht="25.5" customHeight="1" x14ac:dyDescent="0.25">
      <c r="A42" s="22">
        <v>5</v>
      </c>
      <c r="B42" s="23" t="s">
        <v>87</v>
      </c>
      <c r="C42" s="23" t="s">
        <v>24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88</v>
      </c>
      <c r="C43" s="23" t="s">
        <v>56</v>
      </c>
      <c r="D43" s="27" t="s">
        <v>19</v>
      </c>
      <c r="E43" s="28" t="s">
        <v>19</v>
      </c>
      <c r="F43" s="29" t="s">
        <v>25</v>
      </c>
      <c r="G43" s="26"/>
      <c r="H43" s="23"/>
      <c r="M43" s="35" t="str">
        <f t="shared" si="1"/>
        <v>No encaja</v>
      </c>
    </row>
    <row r="44" spans="1:13" ht="38.25" x14ac:dyDescent="0.25">
      <c r="A44" s="22">
        <v>5</v>
      </c>
      <c r="B44" s="23" t="s">
        <v>89</v>
      </c>
      <c r="C44" s="23" t="s">
        <v>90</v>
      </c>
      <c r="D44" s="24" t="s">
        <v>91</v>
      </c>
      <c r="E44" s="22" t="s">
        <v>65</v>
      </c>
      <c r="F44" s="30" t="s">
        <v>85</v>
      </c>
      <c r="G44" s="26"/>
      <c r="H44" s="23"/>
      <c r="I44" s="45" t="s">
        <v>102</v>
      </c>
      <c r="J44" s="35" t="s">
        <v>103</v>
      </c>
      <c r="K44" s="48" t="s">
        <v>85</v>
      </c>
      <c r="L44" s="47" t="s">
        <v>370</v>
      </c>
      <c r="M44" s="35" t="str">
        <f t="shared" si="1"/>
        <v>Encaje parcial</v>
      </c>
    </row>
    <row r="45" spans="1:13" ht="25.5" customHeight="1" x14ac:dyDescent="0.25">
      <c r="A45" s="22">
        <v>5</v>
      </c>
      <c r="B45" s="23" t="s">
        <v>92</v>
      </c>
      <c r="C45" s="23" t="s">
        <v>59</v>
      </c>
      <c r="D45" s="27" t="s">
        <v>19</v>
      </c>
      <c r="E45" s="28" t="s">
        <v>19</v>
      </c>
      <c r="F45" s="29" t="s">
        <v>25</v>
      </c>
      <c r="G45" s="26" t="s">
        <v>60</v>
      </c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x14ac:dyDescent="0.25">
      <c r="A46" s="22">
        <v>6</v>
      </c>
      <c r="B46" s="23" t="s">
        <v>378</v>
      </c>
      <c r="C46" s="23" t="s">
        <v>30</v>
      </c>
      <c r="D46" s="24" t="s">
        <v>284</v>
      </c>
      <c r="E46" s="22" t="s">
        <v>79</v>
      </c>
      <c r="F46" s="25" t="s">
        <v>18</v>
      </c>
      <c r="G46" s="26"/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Encaje perfecto</v>
      </c>
    </row>
    <row r="47" spans="1:13" x14ac:dyDescent="0.25">
      <c r="A47" s="22">
        <v>6</v>
      </c>
      <c r="B47" s="23" t="s">
        <v>379</v>
      </c>
      <c r="C47" s="23" t="s">
        <v>76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380</v>
      </c>
      <c r="C48" s="23" t="s">
        <v>76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ht="51" x14ac:dyDescent="0.25">
      <c r="A49" s="22">
        <v>6</v>
      </c>
      <c r="B49" s="23" t="s">
        <v>360</v>
      </c>
      <c r="C49" s="23" t="s">
        <v>108</v>
      </c>
      <c r="D49" s="27" t="s">
        <v>19</v>
      </c>
      <c r="E49" s="28" t="s">
        <v>19</v>
      </c>
      <c r="F49" s="29" t="s">
        <v>25</v>
      </c>
      <c r="G49" s="26"/>
      <c r="H49" s="23"/>
      <c r="I49" s="45" t="s">
        <v>361</v>
      </c>
      <c r="J49" s="35" t="s">
        <v>84</v>
      </c>
      <c r="K49" s="49" t="s">
        <v>18</v>
      </c>
      <c r="L49" s="47" t="s">
        <v>362</v>
      </c>
      <c r="M49" s="35" t="str">
        <f t="shared" si="1"/>
        <v>Encaje perfecto</v>
      </c>
    </row>
    <row r="50" spans="1:13" x14ac:dyDescent="0.25">
      <c r="A50" s="22">
        <v>6</v>
      </c>
      <c r="B50" s="23" t="s">
        <v>381</v>
      </c>
      <c r="C50" s="23" t="s">
        <v>357</v>
      </c>
      <c r="D50" s="24" t="s">
        <v>282</v>
      </c>
      <c r="E50" s="22" t="s">
        <v>110</v>
      </c>
      <c r="F50" s="25" t="s">
        <v>18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Encaje perfecto</v>
      </c>
    </row>
    <row r="51" spans="1:13" x14ac:dyDescent="0.25">
      <c r="A51" s="22">
        <v>6</v>
      </c>
      <c r="B51" s="23" t="s">
        <v>107</v>
      </c>
      <c r="C51" s="23" t="s">
        <v>108</v>
      </c>
      <c r="D51" s="24" t="s">
        <v>109</v>
      </c>
      <c r="E51" s="22" t="s">
        <v>110</v>
      </c>
      <c r="F51" s="25" t="s">
        <v>18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Encaje perfecto</v>
      </c>
    </row>
    <row r="52" spans="1:13" x14ac:dyDescent="0.25">
      <c r="A52" s="22">
        <v>6</v>
      </c>
      <c r="B52" s="23" t="s">
        <v>111</v>
      </c>
      <c r="C52" s="23" t="s">
        <v>56</v>
      </c>
      <c r="D52" s="27" t="s">
        <v>19</v>
      </c>
      <c r="E52" s="28" t="s">
        <v>19</v>
      </c>
      <c r="F52" s="29" t="s">
        <v>25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No encaja</v>
      </c>
    </row>
    <row r="53" spans="1:13" ht="25.5" customHeight="1" x14ac:dyDescent="0.25">
      <c r="A53" s="22">
        <v>6</v>
      </c>
      <c r="B53" s="23" t="s">
        <v>112</v>
      </c>
      <c r="C53" s="23" t="s">
        <v>24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113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114</v>
      </c>
      <c r="C55" s="23" t="s">
        <v>59</v>
      </c>
      <c r="D55" s="27" t="s">
        <v>19</v>
      </c>
      <c r="E55" s="28" t="s">
        <v>19</v>
      </c>
      <c r="F55" s="29" t="s">
        <v>25</v>
      </c>
      <c r="G55" s="26" t="s">
        <v>60</v>
      </c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7</v>
      </c>
      <c r="B56" s="23" t="s">
        <v>115</v>
      </c>
      <c r="C56" s="23" t="s">
        <v>24</v>
      </c>
      <c r="D56" s="27" t="s">
        <v>19</v>
      </c>
      <c r="E56" s="28" t="s">
        <v>19</v>
      </c>
      <c r="F56" s="29" t="s">
        <v>25</v>
      </c>
      <c r="G56" s="26"/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116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117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8</v>
      </c>
      <c r="B59" s="23" t="s">
        <v>118</v>
      </c>
      <c r="C59" s="23" t="s">
        <v>119</v>
      </c>
      <c r="D59" s="27" t="s">
        <v>19</v>
      </c>
      <c r="E59" s="28" t="s">
        <v>19</v>
      </c>
      <c r="F59" s="29" t="s">
        <v>25</v>
      </c>
      <c r="G59" s="26" t="s">
        <v>120</v>
      </c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121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122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123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124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125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126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127</v>
      </c>
      <c r="C66" s="23" t="s">
        <v>24</v>
      </c>
      <c r="D66" s="27" t="s">
        <v>19</v>
      </c>
      <c r="E66" s="28" t="s">
        <v>19</v>
      </c>
      <c r="F66" s="29" t="s">
        <v>25</v>
      </c>
      <c r="G66" s="26"/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128</v>
      </c>
      <c r="C67" s="23" t="s">
        <v>59</v>
      </c>
      <c r="D67" s="27" t="s">
        <v>19</v>
      </c>
      <c r="E67" s="28" t="s">
        <v>19</v>
      </c>
      <c r="F67" s="29" t="s">
        <v>25</v>
      </c>
      <c r="G67" s="26" t="s">
        <v>60</v>
      </c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</sheetData>
  <conditionalFormatting sqref="M3:M67">
    <cfRule type="cellIs" dxfId="23" priority="1" operator="equal">
      <formula>"Encaje perfecto"</formula>
    </cfRule>
    <cfRule type="cellIs" dxfId="22" priority="2" operator="equal">
      <formula>"Encaje parcial"</formula>
    </cfRule>
    <cfRule type="cellIs" dxfId="21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68"/>
  <sheetViews>
    <sheetView showGridLines="0" topLeftCell="B1" zoomScaleNormal="100" workbookViewId="0">
      <pane ySplit="2" topLeftCell="A38" activePane="bottomLeft" state="frozen"/>
      <selection pane="bottomLeft" activeCell="I57" sqref="I57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382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383</v>
      </c>
      <c r="C22" s="23" t="s">
        <v>33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384</v>
      </c>
      <c r="C23" s="23" t="s">
        <v>385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386</v>
      </c>
      <c r="C24" s="23" t="s">
        <v>15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342</v>
      </c>
      <c r="C30" s="23" t="s">
        <v>148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x14ac:dyDescent="0.25">
      <c r="A31" s="22">
        <v>4</v>
      </c>
      <c r="B31" s="23" t="s">
        <v>387</v>
      </c>
      <c r="C31" s="23" t="s">
        <v>347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x14ac:dyDescent="0.25">
      <c r="A32" s="22">
        <v>4</v>
      </c>
      <c r="B32" s="23" t="s">
        <v>388</v>
      </c>
      <c r="C32" s="23" t="s">
        <v>36</v>
      </c>
      <c r="D32" s="24" t="s">
        <v>304</v>
      </c>
      <c r="E32" s="22" t="s">
        <v>65</v>
      </c>
      <c r="F32" s="25" t="s">
        <v>18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Encaje perfecto</v>
      </c>
    </row>
    <row r="33" spans="1:13" x14ac:dyDescent="0.25">
      <c r="A33" s="22">
        <v>4</v>
      </c>
      <c r="B33" s="23" t="s">
        <v>389</v>
      </c>
      <c r="C33" s="23" t="s">
        <v>51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ht="25.5" customHeight="1" x14ac:dyDescent="0.25">
      <c r="A38" s="22">
        <v>5</v>
      </c>
      <c r="B38" s="23" t="s">
        <v>80</v>
      </c>
      <c r="C38" s="23" t="s">
        <v>81</v>
      </c>
      <c r="D38" s="27" t="s">
        <v>19</v>
      </c>
      <c r="E38" s="28" t="s">
        <v>19</v>
      </c>
      <c r="F38" s="29" t="s">
        <v>25</v>
      </c>
      <c r="G38" s="26" t="s">
        <v>82</v>
      </c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390</v>
      </c>
      <c r="C39" s="23" t="s">
        <v>36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391</v>
      </c>
      <c r="C40" s="23" t="s">
        <v>36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x14ac:dyDescent="0.25">
      <c r="A41" s="22">
        <v>5</v>
      </c>
      <c r="B41" s="23" t="s">
        <v>392</v>
      </c>
      <c r="C41" s="23" t="s">
        <v>393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394</v>
      </c>
      <c r="C42" s="23" t="s">
        <v>393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ht="25.5" customHeight="1" x14ac:dyDescent="0.25">
      <c r="A43" s="22">
        <v>5</v>
      </c>
      <c r="B43" s="23" t="s">
        <v>87</v>
      </c>
      <c r="C43" s="23" t="s">
        <v>24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x14ac:dyDescent="0.25">
      <c r="A44" s="22">
        <v>5</v>
      </c>
      <c r="B44" s="23" t="s">
        <v>88</v>
      </c>
      <c r="C44" s="23" t="s">
        <v>56</v>
      </c>
      <c r="D44" s="27" t="s">
        <v>19</v>
      </c>
      <c r="E44" s="28" t="s">
        <v>19</v>
      </c>
      <c r="F44" s="29" t="s">
        <v>25</v>
      </c>
      <c r="G44" s="26"/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5</v>
      </c>
      <c r="B45" s="23" t="s">
        <v>89</v>
      </c>
      <c r="C45" s="23" t="s">
        <v>90</v>
      </c>
      <c r="D45" s="24" t="s">
        <v>91</v>
      </c>
      <c r="E45" s="22" t="s">
        <v>65</v>
      </c>
      <c r="F45" s="30" t="s">
        <v>85</v>
      </c>
      <c r="G45" s="26"/>
      <c r="H45" s="23"/>
      <c r="I45" s="45" t="s">
        <v>102</v>
      </c>
      <c r="J45" s="35" t="s">
        <v>103</v>
      </c>
      <c r="K45" s="48" t="s">
        <v>85</v>
      </c>
      <c r="L45" s="47"/>
      <c r="M45" s="35" t="str">
        <f t="shared" si="1"/>
        <v>Encaje parcial</v>
      </c>
    </row>
    <row r="46" spans="1:13" ht="25.5" customHeight="1" x14ac:dyDescent="0.25">
      <c r="A46" s="22">
        <v>5</v>
      </c>
      <c r="B46" s="23" t="s">
        <v>92</v>
      </c>
      <c r="C46" s="23" t="s">
        <v>59</v>
      </c>
      <c r="D46" s="27" t="s">
        <v>19</v>
      </c>
      <c r="E46" s="28" t="s">
        <v>19</v>
      </c>
      <c r="F46" s="29" t="s">
        <v>25</v>
      </c>
      <c r="G46" s="26" t="s">
        <v>60</v>
      </c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No encaja</v>
      </c>
    </row>
    <row r="47" spans="1:13" ht="51" x14ac:dyDescent="0.25">
      <c r="A47" s="22">
        <v>6</v>
      </c>
      <c r="B47" s="23" t="s">
        <v>360</v>
      </c>
      <c r="C47" s="23" t="s">
        <v>108</v>
      </c>
      <c r="D47" s="27" t="s">
        <v>19</v>
      </c>
      <c r="E47" s="28" t="s">
        <v>19</v>
      </c>
      <c r="F47" s="29" t="s">
        <v>25</v>
      </c>
      <c r="G47" s="26"/>
      <c r="H47" s="23"/>
      <c r="I47" s="45" t="s">
        <v>361</v>
      </c>
      <c r="J47" s="35" t="s">
        <v>84</v>
      </c>
      <c r="K47" s="49" t="s">
        <v>18</v>
      </c>
      <c r="L47" s="47" t="s">
        <v>362</v>
      </c>
      <c r="M47" s="35" t="str">
        <f t="shared" si="1"/>
        <v>Encaje perfecto</v>
      </c>
    </row>
    <row r="48" spans="1:13" x14ac:dyDescent="0.25">
      <c r="A48" s="22">
        <v>6</v>
      </c>
      <c r="B48" s="23" t="s">
        <v>395</v>
      </c>
      <c r="C48" s="23" t="s">
        <v>309</v>
      </c>
      <c r="D48" s="24" t="s">
        <v>310</v>
      </c>
      <c r="E48" s="22" t="s">
        <v>110</v>
      </c>
      <c r="F48" s="25" t="s">
        <v>18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Encaje perfecto</v>
      </c>
    </row>
    <row r="49" spans="1:13" ht="38.25" x14ac:dyDescent="0.25">
      <c r="A49" s="22">
        <v>6</v>
      </c>
      <c r="B49" s="23" t="s">
        <v>396</v>
      </c>
      <c r="C49" s="23" t="s">
        <v>36</v>
      </c>
      <c r="D49" s="27" t="s">
        <v>19</v>
      </c>
      <c r="E49" s="28" t="s">
        <v>19</v>
      </c>
      <c r="F49" s="29" t="s">
        <v>25</v>
      </c>
      <c r="G49" s="26"/>
      <c r="H49" s="23"/>
      <c r="I49" s="45" t="s">
        <v>102</v>
      </c>
      <c r="J49" s="35" t="s">
        <v>103</v>
      </c>
      <c r="K49" s="49" t="s">
        <v>18</v>
      </c>
      <c r="L49" s="47" t="s">
        <v>397</v>
      </c>
      <c r="M49" s="35" t="str">
        <f t="shared" si="1"/>
        <v>Encaje perfecto</v>
      </c>
    </row>
    <row r="50" spans="1:13" x14ac:dyDescent="0.25">
      <c r="A50" s="22">
        <v>6</v>
      </c>
      <c r="B50" s="23" t="s">
        <v>398</v>
      </c>
      <c r="C50" s="23" t="s">
        <v>36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399</v>
      </c>
      <c r="C51" s="23" t="s">
        <v>148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25" t="s">
        <v>18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perfecto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20" priority="1" operator="equal">
      <formula>"Encaje perfecto"</formula>
    </cfRule>
    <cfRule type="cellIs" dxfId="19" priority="2" operator="equal">
      <formula>"Encaje parcial"</formula>
    </cfRule>
    <cfRule type="cellIs" dxfId="18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8"/>
  <sheetViews>
    <sheetView showGridLines="0" zoomScaleNormal="100" workbookViewId="0">
      <pane ySplit="2" topLeftCell="A14" activePane="bottomLeft" state="frozen"/>
      <selection pane="bottomLeft" activeCell="K46" sqref="B46:K46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400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24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401</v>
      </c>
      <c r="C21" s="23" t="s">
        <v>15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402</v>
      </c>
      <c r="C22" s="23" t="s">
        <v>354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403</v>
      </c>
      <c r="C23" s="23" t="s">
        <v>404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405</v>
      </c>
      <c r="C24" s="23" t="s">
        <v>51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406</v>
      </c>
      <c r="C30" s="23" t="s">
        <v>15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ht="51" x14ac:dyDescent="0.25">
      <c r="A31" s="22">
        <v>4</v>
      </c>
      <c r="B31" s="23" t="s">
        <v>407</v>
      </c>
      <c r="C31" s="23" t="s">
        <v>404</v>
      </c>
      <c r="D31" s="31" t="s">
        <v>408</v>
      </c>
      <c r="E31" s="28" t="s">
        <v>19</v>
      </c>
      <c r="F31" s="29" t="s">
        <v>25</v>
      </c>
      <c r="G31" s="26"/>
      <c r="H31" s="23"/>
      <c r="I31" s="45" t="s">
        <v>336</v>
      </c>
      <c r="J31" s="35" t="s">
        <v>332</v>
      </c>
      <c r="K31" s="49" t="s">
        <v>18</v>
      </c>
      <c r="L31" s="47" t="s">
        <v>409</v>
      </c>
      <c r="M31" s="35" t="str">
        <f t="shared" si="0"/>
        <v>Encaje perfecto</v>
      </c>
    </row>
    <row r="32" spans="1:13" x14ac:dyDescent="0.25">
      <c r="A32" s="22">
        <v>4</v>
      </c>
      <c r="B32" s="23" t="s">
        <v>410</v>
      </c>
      <c r="C32" s="23" t="s">
        <v>411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412</v>
      </c>
      <c r="C33" s="23" t="s">
        <v>108</v>
      </c>
      <c r="D33" s="24" t="s">
        <v>238</v>
      </c>
      <c r="E33" s="22" t="s">
        <v>65</v>
      </c>
      <c r="F33" s="25" t="s">
        <v>18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Encaje perfecto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50</v>
      </c>
      <c r="C38" s="23" t="s">
        <v>51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413</v>
      </c>
      <c r="C39" s="23" t="s">
        <v>404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414</v>
      </c>
      <c r="C40" s="23" t="s">
        <v>15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x14ac:dyDescent="0.25">
      <c r="A41" s="22">
        <v>5</v>
      </c>
      <c r="B41" s="23" t="s">
        <v>415</v>
      </c>
      <c r="C41" s="23" t="s">
        <v>15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ht="25.5" customHeight="1" x14ac:dyDescent="0.25">
      <c r="A42" s="22">
        <v>5</v>
      </c>
      <c r="B42" s="23" t="s">
        <v>87</v>
      </c>
      <c r="C42" s="23" t="s">
        <v>24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88</v>
      </c>
      <c r="C43" s="23" t="s">
        <v>56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ht="38.25" x14ac:dyDescent="0.25">
      <c r="A44" s="22">
        <v>5</v>
      </c>
      <c r="B44" s="23" t="s">
        <v>89</v>
      </c>
      <c r="C44" s="23" t="s">
        <v>90</v>
      </c>
      <c r="D44" s="24" t="s">
        <v>91</v>
      </c>
      <c r="E44" s="22" t="s">
        <v>65</v>
      </c>
      <c r="F44" s="30" t="s">
        <v>85</v>
      </c>
      <c r="G44" s="26"/>
      <c r="H44" s="23"/>
      <c r="I44" s="45" t="s">
        <v>102</v>
      </c>
      <c r="J44" s="35" t="s">
        <v>103</v>
      </c>
      <c r="K44" s="48" t="s">
        <v>85</v>
      </c>
      <c r="L44" s="47" t="s">
        <v>416</v>
      </c>
      <c r="M44" s="35" t="str">
        <f t="shared" si="1"/>
        <v>Encaje parcial</v>
      </c>
    </row>
    <row r="45" spans="1:13" ht="25.5" customHeight="1" x14ac:dyDescent="0.25">
      <c r="A45" s="22">
        <v>5</v>
      </c>
      <c r="B45" s="23" t="s">
        <v>92</v>
      </c>
      <c r="C45" s="23" t="s">
        <v>59</v>
      </c>
      <c r="D45" s="27" t="s">
        <v>19</v>
      </c>
      <c r="E45" s="28" t="s">
        <v>19</v>
      </c>
      <c r="F45" s="29" t="s">
        <v>25</v>
      </c>
      <c r="G45" s="26" t="s">
        <v>60</v>
      </c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ht="51" x14ac:dyDescent="0.25">
      <c r="A46" s="22">
        <v>6</v>
      </c>
      <c r="B46" s="23" t="s">
        <v>417</v>
      </c>
      <c r="C46" s="23" t="s">
        <v>418</v>
      </c>
      <c r="D46" s="31" t="s">
        <v>331</v>
      </c>
      <c r="E46" s="28" t="s">
        <v>19</v>
      </c>
      <c r="F46" s="29" t="s">
        <v>25</v>
      </c>
      <c r="G46" s="26"/>
      <c r="H46" s="23"/>
      <c r="I46" s="45" t="s">
        <v>331</v>
      </c>
      <c r="J46" s="35" t="s">
        <v>332</v>
      </c>
      <c r="K46" s="49" t="s">
        <v>18</v>
      </c>
      <c r="L46" s="47" t="s">
        <v>419</v>
      </c>
      <c r="M46" s="35" t="str">
        <f t="shared" si="1"/>
        <v>Encaje perfecto</v>
      </c>
    </row>
    <row r="47" spans="1:13" x14ac:dyDescent="0.25">
      <c r="A47" s="22">
        <v>6</v>
      </c>
      <c r="B47" s="23" t="s">
        <v>420</v>
      </c>
      <c r="C47" s="23" t="s">
        <v>404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421</v>
      </c>
      <c r="C48" s="23" t="s">
        <v>51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x14ac:dyDescent="0.25">
      <c r="A49" s="22">
        <v>6</v>
      </c>
      <c r="B49" s="23" t="s">
        <v>422</v>
      </c>
      <c r="C49" s="23" t="s">
        <v>418</v>
      </c>
      <c r="D49" s="27" t="s">
        <v>19</v>
      </c>
      <c r="E49" s="28" t="s">
        <v>19</v>
      </c>
      <c r="F49" s="29" t="s">
        <v>25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No encaja</v>
      </c>
    </row>
    <row r="50" spans="1:13" x14ac:dyDescent="0.25">
      <c r="A50" s="22">
        <v>6</v>
      </c>
      <c r="B50" s="23" t="s">
        <v>423</v>
      </c>
      <c r="C50" s="23" t="s">
        <v>424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425</v>
      </c>
      <c r="C51" s="23" t="s">
        <v>15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25" t="s">
        <v>18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perfecto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17" priority="1" operator="equal">
      <formula>"Encaje perfecto"</formula>
    </cfRule>
    <cfRule type="cellIs" dxfId="16" priority="2" operator="equal">
      <formula>"Encaje parcial"</formula>
    </cfRule>
    <cfRule type="cellIs" dxfId="15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67"/>
  <sheetViews>
    <sheetView showGridLines="0" zoomScaleNormal="100" workbookViewId="0">
      <pane ySplit="2" topLeftCell="A60" activePane="bottomLeft" state="frozen"/>
      <selection pane="bottomLeft" activeCell="L45" sqref="A45:L45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426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427</v>
      </c>
      <c r="C22" s="23" t="s">
        <v>428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429</v>
      </c>
      <c r="C23" s="23" t="s">
        <v>148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430</v>
      </c>
      <c r="C24" s="23" t="s">
        <v>428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431</v>
      </c>
      <c r="C30" s="23" t="s">
        <v>148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x14ac:dyDescent="0.25">
      <c r="A31" s="22">
        <v>4</v>
      </c>
      <c r="B31" s="23" t="s">
        <v>342</v>
      </c>
      <c r="C31" s="23" t="s">
        <v>148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x14ac:dyDescent="0.25">
      <c r="A32" s="22">
        <v>4</v>
      </c>
      <c r="B32" s="23" t="s">
        <v>432</v>
      </c>
      <c r="C32" s="23" t="s">
        <v>428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433</v>
      </c>
      <c r="C33" s="23" t="s">
        <v>434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7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435</v>
      </c>
      <c r="C38" s="23" t="s">
        <v>148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436</v>
      </c>
      <c r="C39" s="23" t="s">
        <v>148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437</v>
      </c>
      <c r="C40" s="23" t="s">
        <v>434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x14ac:dyDescent="0.25">
      <c r="A41" s="22">
        <v>5</v>
      </c>
      <c r="B41" s="23" t="s">
        <v>348</v>
      </c>
      <c r="C41" s="23" t="s">
        <v>148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353</v>
      </c>
      <c r="C42" s="23" t="s">
        <v>354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ht="25.5" customHeight="1" x14ac:dyDescent="0.25">
      <c r="A43" s="22">
        <v>5</v>
      </c>
      <c r="B43" s="23" t="s">
        <v>87</v>
      </c>
      <c r="C43" s="23" t="s">
        <v>24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x14ac:dyDescent="0.25">
      <c r="A44" s="22">
        <v>5</v>
      </c>
      <c r="B44" s="23" t="s">
        <v>88</v>
      </c>
      <c r="C44" s="23" t="s">
        <v>56</v>
      </c>
      <c r="D44" s="27" t="s">
        <v>19</v>
      </c>
      <c r="E44" s="28" t="s">
        <v>19</v>
      </c>
      <c r="F44" s="29" t="s">
        <v>25</v>
      </c>
      <c r="G44" s="26"/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ht="38.25" x14ac:dyDescent="0.25">
      <c r="A45" s="22">
        <v>5</v>
      </c>
      <c r="B45" s="23" t="s">
        <v>89</v>
      </c>
      <c r="C45" s="23" t="s">
        <v>90</v>
      </c>
      <c r="D45" s="24" t="s">
        <v>91</v>
      </c>
      <c r="E45" s="22" t="s">
        <v>65</v>
      </c>
      <c r="F45" s="30" t="s">
        <v>85</v>
      </c>
      <c r="G45" s="26"/>
      <c r="H45" s="23"/>
      <c r="I45" s="45" t="s">
        <v>102</v>
      </c>
      <c r="J45" s="35" t="s">
        <v>103</v>
      </c>
      <c r="K45" s="48" t="s">
        <v>85</v>
      </c>
      <c r="L45" s="47" t="s">
        <v>416</v>
      </c>
      <c r="M45" s="35" t="str">
        <f t="shared" si="1"/>
        <v>Encaje parcial</v>
      </c>
    </row>
    <row r="46" spans="1:13" ht="25.5" customHeight="1" x14ac:dyDescent="0.25">
      <c r="A46" s="22">
        <v>5</v>
      </c>
      <c r="B46" s="23" t="s">
        <v>92</v>
      </c>
      <c r="C46" s="23" t="s">
        <v>59</v>
      </c>
      <c r="D46" s="27" t="s">
        <v>19</v>
      </c>
      <c r="E46" s="28" t="s">
        <v>19</v>
      </c>
      <c r="F46" s="29" t="s">
        <v>25</v>
      </c>
      <c r="G46" s="26" t="s">
        <v>60</v>
      </c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No encaja</v>
      </c>
    </row>
    <row r="47" spans="1:13" x14ac:dyDescent="0.25">
      <c r="A47" s="22">
        <v>6</v>
      </c>
      <c r="B47" s="23" t="s">
        <v>438</v>
      </c>
      <c r="C47" s="23" t="s">
        <v>148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439</v>
      </c>
      <c r="C48" s="23" t="s">
        <v>148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x14ac:dyDescent="0.25">
      <c r="A49" s="22">
        <v>6</v>
      </c>
      <c r="B49" s="23" t="s">
        <v>440</v>
      </c>
      <c r="C49" s="23" t="s">
        <v>108</v>
      </c>
      <c r="D49" s="24" t="s">
        <v>284</v>
      </c>
      <c r="E49" s="22" t="s">
        <v>79</v>
      </c>
      <c r="F49" s="25" t="s">
        <v>18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perfecto</v>
      </c>
    </row>
    <row r="50" spans="1:13" x14ac:dyDescent="0.25">
      <c r="A50" s="22">
        <v>6</v>
      </c>
      <c r="B50" s="23" t="s">
        <v>352</v>
      </c>
      <c r="C50" s="23" t="s">
        <v>148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107</v>
      </c>
      <c r="C51" s="23" t="s">
        <v>108</v>
      </c>
      <c r="D51" s="24" t="s">
        <v>109</v>
      </c>
      <c r="E51" s="22" t="s">
        <v>110</v>
      </c>
      <c r="F51" s="25" t="s">
        <v>18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Encaje perfecto</v>
      </c>
    </row>
    <row r="52" spans="1:13" x14ac:dyDescent="0.25">
      <c r="A52" s="22">
        <v>6</v>
      </c>
      <c r="B52" s="23" t="s">
        <v>111</v>
      </c>
      <c r="C52" s="23" t="s">
        <v>56</v>
      </c>
      <c r="D52" s="27" t="s">
        <v>19</v>
      </c>
      <c r="E52" s="28" t="s">
        <v>19</v>
      </c>
      <c r="F52" s="29" t="s">
        <v>25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No encaja</v>
      </c>
    </row>
    <row r="53" spans="1:13" ht="25.5" customHeight="1" x14ac:dyDescent="0.25">
      <c r="A53" s="22">
        <v>6</v>
      </c>
      <c r="B53" s="23" t="s">
        <v>112</v>
      </c>
      <c r="C53" s="23" t="s">
        <v>24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113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114</v>
      </c>
      <c r="C55" s="23" t="s">
        <v>59</v>
      </c>
      <c r="D55" s="27" t="s">
        <v>19</v>
      </c>
      <c r="E55" s="28" t="s">
        <v>19</v>
      </c>
      <c r="F55" s="29" t="s">
        <v>25</v>
      </c>
      <c r="G55" s="26" t="s">
        <v>60</v>
      </c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7</v>
      </c>
      <c r="B56" s="23" t="s">
        <v>115</v>
      </c>
      <c r="C56" s="23" t="s">
        <v>24</v>
      </c>
      <c r="D56" s="27" t="s">
        <v>19</v>
      </c>
      <c r="E56" s="28" t="s">
        <v>19</v>
      </c>
      <c r="F56" s="29" t="s">
        <v>25</v>
      </c>
      <c r="G56" s="26"/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116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117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8</v>
      </c>
      <c r="B59" s="23" t="s">
        <v>118</v>
      </c>
      <c r="C59" s="23" t="s">
        <v>119</v>
      </c>
      <c r="D59" s="27" t="s">
        <v>19</v>
      </c>
      <c r="E59" s="28" t="s">
        <v>19</v>
      </c>
      <c r="F59" s="29" t="s">
        <v>25</v>
      </c>
      <c r="G59" s="26" t="s">
        <v>120</v>
      </c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121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122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123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124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125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126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127</v>
      </c>
      <c r="C66" s="23" t="s">
        <v>24</v>
      </c>
      <c r="D66" s="27" t="s">
        <v>19</v>
      </c>
      <c r="E66" s="28" t="s">
        <v>19</v>
      </c>
      <c r="F66" s="29" t="s">
        <v>25</v>
      </c>
      <c r="G66" s="26"/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128</v>
      </c>
      <c r="C67" s="23" t="s">
        <v>59</v>
      </c>
      <c r="D67" s="27" t="s">
        <v>19</v>
      </c>
      <c r="E67" s="28" t="s">
        <v>19</v>
      </c>
      <c r="F67" s="29" t="s">
        <v>25</v>
      </c>
      <c r="G67" s="26" t="s">
        <v>60</v>
      </c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</sheetData>
  <conditionalFormatting sqref="M3:M67">
    <cfRule type="cellIs" dxfId="14" priority="1" operator="equal">
      <formula>"Encaje perfecto"</formula>
    </cfRule>
    <cfRule type="cellIs" dxfId="13" priority="2" operator="equal">
      <formula>"Encaje parcial"</formula>
    </cfRule>
    <cfRule type="cellIs" dxfId="12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68"/>
  <sheetViews>
    <sheetView showGridLines="0" topLeftCell="B1" zoomScaleNormal="100" workbookViewId="0">
      <pane ySplit="2" topLeftCell="A54" activePane="bottomLeft" state="frozen"/>
      <selection pane="bottomLeft" activeCell="K46" sqref="B46:K46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441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/>
      <c r="J7" s="35"/>
      <c r="K7" s="35"/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442</v>
      </c>
      <c r="C21" s="23" t="s">
        <v>27</v>
      </c>
      <c r="D21" s="24" t="s">
        <v>74</v>
      </c>
      <c r="E21" s="22" t="s">
        <v>65</v>
      </c>
      <c r="F21" s="25" t="s">
        <v>18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Encaje perfecto</v>
      </c>
    </row>
    <row r="22" spans="1:13" x14ac:dyDescent="0.25">
      <c r="A22" s="22">
        <v>3</v>
      </c>
      <c r="B22" s="23" t="s">
        <v>430</v>
      </c>
      <c r="C22" s="23" t="s">
        <v>428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ht="25.5" customHeight="1" x14ac:dyDescent="0.25">
      <c r="A23" s="22">
        <v>3</v>
      </c>
      <c r="B23" s="23" t="s">
        <v>54</v>
      </c>
      <c r="C23" s="23" t="s">
        <v>24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55</v>
      </c>
      <c r="C24" s="23" t="s">
        <v>56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57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58</v>
      </c>
      <c r="C26" s="23" t="s">
        <v>59</v>
      </c>
      <c r="D26" s="27" t="s">
        <v>19</v>
      </c>
      <c r="E26" s="28" t="s">
        <v>19</v>
      </c>
      <c r="F26" s="29" t="s">
        <v>25</v>
      </c>
      <c r="G26" s="26" t="s">
        <v>60</v>
      </c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61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x14ac:dyDescent="0.25">
      <c r="A28" s="22">
        <v>4</v>
      </c>
      <c r="B28" s="23" t="s">
        <v>443</v>
      </c>
      <c r="C28" s="23" t="s">
        <v>27</v>
      </c>
      <c r="D28" s="24" t="s">
        <v>263</v>
      </c>
      <c r="E28" s="22" t="s">
        <v>65</v>
      </c>
      <c r="F28" s="25" t="s">
        <v>18</v>
      </c>
      <c r="G28" s="26"/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Encaje perfecto</v>
      </c>
    </row>
    <row r="29" spans="1:13" x14ac:dyDescent="0.25">
      <c r="A29" s="22">
        <v>4</v>
      </c>
      <c r="B29" s="23" t="s">
        <v>444</v>
      </c>
      <c r="C29" s="23" t="s">
        <v>27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340</v>
      </c>
      <c r="C30" s="23" t="s">
        <v>148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x14ac:dyDescent="0.25">
      <c r="A31" s="22">
        <v>4</v>
      </c>
      <c r="B31" s="23" t="s">
        <v>342</v>
      </c>
      <c r="C31" s="23" t="s">
        <v>148</v>
      </c>
      <c r="D31" s="27" t="s">
        <v>19</v>
      </c>
      <c r="E31" s="28" t="s">
        <v>19</v>
      </c>
      <c r="F31" s="29" t="s">
        <v>25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No encaja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445</v>
      </c>
      <c r="C36" s="23" t="s">
        <v>27</v>
      </c>
      <c r="D36" s="24" t="s">
        <v>265</v>
      </c>
      <c r="E36" s="22" t="s">
        <v>110</v>
      </c>
      <c r="F36" s="25" t="s">
        <v>18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Encaje perfecto</v>
      </c>
    </row>
    <row r="37" spans="1:13" x14ac:dyDescent="0.25">
      <c r="A37" s="22">
        <v>5</v>
      </c>
      <c r="B37" s="23" t="s">
        <v>349</v>
      </c>
      <c r="C37" s="23" t="s">
        <v>27</v>
      </c>
      <c r="D37" s="27" t="s">
        <v>19</v>
      </c>
      <c r="E37" s="28" t="s">
        <v>19</v>
      </c>
      <c r="F37" s="29" t="s">
        <v>25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446</v>
      </c>
      <c r="C38" s="23" t="s">
        <v>354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447</v>
      </c>
      <c r="C39" s="23" t="s">
        <v>434</v>
      </c>
      <c r="D39" s="27" t="s">
        <v>19</v>
      </c>
      <c r="E39" s="28" t="s">
        <v>19</v>
      </c>
      <c r="F39" s="29" t="s">
        <v>25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No encaja</v>
      </c>
    </row>
    <row r="40" spans="1:13" x14ac:dyDescent="0.25">
      <c r="A40" s="22">
        <v>5</v>
      </c>
      <c r="B40" s="23" t="s">
        <v>448</v>
      </c>
      <c r="C40" s="23" t="s">
        <v>27</v>
      </c>
      <c r="D40" s="27" t="s">
        <v>19</v>
      </c>
      <c r="E40" s="28" t="s">
        <v>19</v>
      </c>
      <c r="F40" s="29" t="s">
        <v>25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No encaja</v>
      </c>
    </row>
    <row r="41" spans="1:13" x14ac:dyDescent="0.25">
      <c r="A41" s="22">
        <v>5</v>
      </c>
      <c r="B41" s="23" t="s">
        <v>433</v>
      </c>
      <c r="C41" s="23" t="s">
        <v>434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ht="25.5" customHeight="1" x14ac:dyDescent="0.25">
      <c r="A42" s="22">
        <v>5</v>
      </c>
      <c r="B42" s="23" t="s">
        <v>87</v>
      </c>
      <c r="C42" s="23" t="s">
        <v>24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88</v>
      </c>
      <c r="C43" s="23" t="s">
        <v>56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ht="38.25" x14ac:dyDescent="0.25">
      <c r="A44" s="22">
        <v>5</v>
      </c>
      <c r="B44" s="23" t="s">
        <v>89</v>
      </c>
      <c r="C44" s="23" t="s">
        <v>90</v>
      </c>
      <c r="D44" s="24" t="s">
        <v>91</v>
      </c>
      <c r="E44" s="22" t="s">
        <v>65</v>
      </c>
      <c r="F44" s="30" t="s">
        <v>85</v>
      </c>
      <c r="G44" s="26"/>
      <c r="H44" s="23"/>
      <c r="I44" s="45" t="s">
        <v>102</v>
      </c>
      <c r="J44" s="35" t="s">
        <v>103</v>
      </c>
      <c r="K44" s="48" t="s">
        <v>85</v>
      </c>
      <c r="L44" s="47" t="s">
        <v>416</v>
      </c>
      <c r="M44" s="35" t="str">
        <f t="shared" si="1"/>
        <v>Encaje parcial</v>
      </c>
    </row>
    <row r="45" spans="1:13" ht="25.5" customHeight="1" x14ac:dyDescent="0.25">
      <c r="A45" s="22">
        <v>5</v>
      </c>
      <c r="B45" s="23" t="s">
        <v>92</v>
      </c>
      <c r="C45" s="23" t="s">
        <v>59</v>
      </c>
      <c r="D45" s="27" t="s">
        <v>19</v>
      </c>
      <c r="E45" s="28" t="s">
        <v>19</v>
      </c>
      <c r="F45" s="29" t="s">
        <v>25</v>
      </c>
      <c r="G45" s="26" t="s">
        <v>60</v>
      </c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ht="38.25" x14ac:dyDescent="0.25">
      <c r="A46" s="22">
        <v>6</v>
      </c>
      <c r="B46" s="23" t="s">
        <v>449</v>
      </c>
      <c r="C46" s="23" t="s">
        <v>404</v>
      </c>
      <c r="D46" s="27" t="s">
        <v>19</v>
      </c>
      <c r="E46" s="28" t="s">
        <v>19</v>
      </c>
      <c r="F46" s="29" t="s">
        <v>25</v>
      </c>
      <c r="G46" s="26"/>
      <c r="H46" s="23"/>
      <c r="I46" s="45" t="s">
        <v>336</v>
      </c>
      <c r="J46" s="35" t="s">
        <v>332</v>
      </c>
      <c r="K46" s="48" t="s">
        <v>85</v>
      </c>
      <c r="L46" s="47" t="s">
        <v>450</v>
      </c>
      <c r="M46" s="35" t="str">
        <f t="shared" si="1"/>
        <v>Encaje parcial</v>
      </c>
    </row>
    <row r="47" spans="1:13" x14ac:dyDescent="0.25">
      <c r="A47" s="22">
        <v>6</v>
      </c>
      <c r="B47" s="23" t="s">
        <v>353</v>
      </c>
      <c r="C47" s="23" t="s">
        <v>354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x14ac:dyDescent="0.25">
      <c r="A48" s="22">
        <v>6</v>
      </c>
      <c r="B48" s="23" t="s">
        <v>410</v>
      </c>
      <c r="C48" s="23" t="s">
        <v>411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x14ac:dyDescent="0.25">
      <c r="A49" s="22">
        <v>6</v>
      </c>
      <c r="B49" s="23" t="s">
        <v>105</v>
      </c>
      <c r="C49" s="23" t="s">
        <v>27</v>
      </c>
      <c r="D49" s="24" t="s">
        <v>106</v>
      </c>
      <c r="E49" s="22" t="s">
        <v>79</v>
      </c>
      <c r="F49" s="30" t="s">
        <v>85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parcial</v>
      </c>
    </row>
    <row r="50" spans="1:13" x14ac:dyDescent="0.25">
      <c r="A50" s="22">
        <v>6</v>
      </c>
      <c r="B50" s="23" t="s">
        <v>451</v>
      </c>
      <c r="C50" s="23" t="s">
        <v>27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452</v>
      </c>
      <c r="C51" s="23" t="s">
        <v>27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25" t="s">
        <v>18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perfecto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11" priority="1" operator="equal">
      <formula>"Encaje perfecto"</formula>
    </cfRule>
    <cfRule type="cellIs" dxfId="10" priority="2" operator="equal">
      <formula>"Encaje parcial"</formula>
    </cfRule>
    <cfRule type="cellIs" dxfId="9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8"/>
  <sheetViews>
    <sheetView showGridLines="0" topLeftCell="B1" zoomScale="115" zoomScaleNormal="115" workbookViewId="0">
      <pane ySplit="2" topLeftCell="A33" activePane="bottomLeft" state="frozen"/>
      <selection pane="bottomLeft" activeCell="K42" sqref="B42:K42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453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45"/>
      <c r="J6" s="35"/>
      <c r="K6" s="48"/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246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340</v>
      </c>
      <c r="C21" s="23" t="s">
        <v>148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383</v>
      </c>
      <c r="C22" s="23" t="s">
        <v>33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454</v>
      </c>
      <c r="C23" s="23" t="s">
        <v>33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x14ac:dyDescent="0.25">
      <c r="A24" s="22">
        <v>3</v>
      </c>
      <c r="B24" s="23" t="s">
        <v>455</v>
      </c>
      <c r="C24" s="23" t="s">
        <v>456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ht="25.5" customHeight="1" x14ac:dyDescent="0.25">
      <c r="A25" s="22">
        <v>3</v>
      </c>
      <c r="B25" s="23" t="s">
        <v>54</v>
      </c>
      <c r="C25" s="23" t="s">
        <v>24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x14ac:dyDescent="0.25">
      <c r="A26" s="22">
        <v>3</v>
      </c>
      <c r="B26" s="23" t="s">
        <v>55</v>
      </c>
      <c r="C26" s="23" t="s">
        <v>56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57</v>
      </c>
      <c r="C27" s="23" t="s">
        <v>24</v>
      </c>
      <c r="D27" s="27" t="s">
        <v>19</v>
      </c>
      <c r="E27" s="28" t="s">
        <v>19</v>
      </c>
      <c r="F27" s="29" t="s">
        <v>25</v>
      </c>
      <c r="G27" s="26"/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58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ht="25.5" customHeight="1" x14ac:dyDescent="0.25">
      <c r="A29" s="22">
        <v>3</v>
      </c>
      <c r="B29" s="23" t="s">
        <v>61</v>
      </c>
      <c r="C29" s="23" t="s">
        <v>59</v>
      </c>
      <c r="D29" s="27" t="s">
        <v>19</v>
      </c>
      <c r="E29" s="28" t="s">
        <v>19</v>
      </c>
      <c r="F29" s="29" t="s">
        <v>25</v>
      </c>
      <c r="G29" s="26" t="s">
        <v>60</v>
      </c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342</v>
      </c>
      <c r="C30" s="23" t="s">
        <v>148</v>
      </c>
      <c r="D30" s="27" t="s">
        <v>19</v>
      </c>
      <c r="E30" s="28" t="s">
        <v>19</v>
      </c>
      <c r="F30" s="29" t="s">
        <v>25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No encaja</v>
      </c>
    </row>
    <row r="31" spans="1:13" ht="38.25" x14ac:dyDescent="0.25">
      <c r="A31" s="22">
        <v>4</v>
      </c>
      <c r="B31" s="23" t="s">
        <v>387</v>
      </c>
      <c r="C31" s="23" t="s">
        <v>347</v>
      </c>
      <c r="D31" s="27" t="s">
        <v>19</v>
      </c>
      <c r="E31" s="28" t="s">
        <v>19</v>
      </c>
      <c r="F31" s="29" t="s">
        <v>25</v>
      </c>
      <c r="G31" s="26"/>
      <c r="H31" s="23"/>
      <c r="I31" s="45" t="s">
        <v>102</v>
      </c>
      <c r="J31" s="35" t="s">
        <v>103</v>
      </c>
      <c r="K31" s="49" t="s">
        <v>18</v>
      </c>
      <c r="L31" s="47" t="s">
        <v>457</v>
      </c>
      <c r="M31" s="35" t="str">
        <f t="shared" si="0"/>
        <v>Encaje perfecto</v>
      </c>
    </row>
    <row r="32" spans="1:13" x14ac:dyDescent="0.25">
      <c r="A32" s="22">
        <v>4</v>
      </c>
      <c r="B32" s="23" t="s">
        <v>458</v>
      </c>
      <c r="C32" s="23" t="s">
        <v>33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459</v>
      </c>
      <c r="C33" s="23" t="s">
        <v>49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68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x14ac:dyDescent="0.25">
      <c r="A35" s="22">
        <v>4</v>
      </c>
      <c r="B35" s="23" t="s">
        <v>69</v>
      </c>
      <c r="C35" s="23" t="s">
        <v>56</v>
      </c>
      <c r="D35" s="27" t="s">
        <v>19</v>
      </c>
      <c r="E35" s="28" t="s">
        <v>19</v>
      </c>
      <c r="F35" s="29" t="s">
        <v>25</v>
      </c>
      <c r="G35" s="26"/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8" si="1">IF(OR(F35="Encaje perfecto",K35="Encaje perfecto"),"Encaje perfecto",IF(OR(F35="Encaje parcial",K35="Encaje parcial"),"Encaje parcial","No encaja"))</f>
        <v>No encaja</v>
      </c>
    </row>
    <row r="36" spans="1:13" ht="25.5" customHeight="1" x14ac:dyDescent="0.25">
      <c r="A36" s="22">
        <v>4</v>
      </c>
      <c r="B36" s="23" t="s">
        <v>70</v>
      </c>
      <c r="C36" s="23" t="s">
        <v>24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ht="25.5" customHeight="1" x14ac:dyDescent="0.25">
      <c r="A37" s="22">
        <v>4</v>
      </c>
      <c r="B37" s="23" t="s">
        <v>71</v>
      </c>
      <c r="C37" s="23" t="s">
        <v>59</v>
      </c>
      <c r="D37" s="27" t="s">
        <v>19</v>
      </c>
      <c r="E37" s="28" t="s">
        <v>19</v>
      </c>
      <c r="F37" s="29" t="s">
        <v>25</v>
      </c>
      <c r="G37" s="26" t="s">
        <v>60</v>
      </c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No encaja</v>
      </c>
    </row>
    <row r="38" spans="1:13" x14ac:dyDescent="0.25">
      <c r="A38" s="22">
        <v>5</v>
      </c>
      <c r="B38" s="23" t="s">
        <v>77</v>
      </c>
      <c r="C38" s="23" t="s">
        <v>33</v>
      </c>
      <c r="D38" s="24" t="s">
        <v>78</v>
      </c>
      <c r="E38" s="22" t="s">
        <v>79</v>
      </c>
      <c r="F38" s="25" t="s">
        <v>18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Encaje perfecto</v>
      </c>
    </row>
    <row r="39" spans="1:13" x14ac:dyDescent="0.25">
      <c r="A39" s="22">
        <v>5</v>
      </c>
      <c r="B39" s="23" t="s">
        <v>460</v>
      </c>
      <c r="C39" s="23" t="s">
        <v>108</v>
      </c>
      <c r="D39" s="24" t="s">
        <v>238</v>
      </c>
      <c r="E39" s="22" t="s">
        <v>65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Encaje perfecto</v>
      </c>
    </row>
    <row r="40" spans="1:13" x14ac:dyDescent="0.25">
      <c r="A40" s="22">
        <v>5</v>
      </c>
      <c r="B40" s="23" t="s">
        <v>461</v>
      </c>
      <c r="C40" s="23" t="s">
        <v>33</v>
      </c>
      <c r="D40" s="24" t="s">
        <v>250</v>
      </c>
      <c r="E40" s="22" t="s">
        <v>65</v>
      </c>
      <c r="F40" s="30" t="s">
        <v>85</v>
      </c>
      <c r="G40" s="26"/>
      <c r="H40" s="23"/>
      <c r="I40" s="35" t="s">
        <v>19</v>
      </c>
      <c r="J40" s="35" t="s">
        <v>19</v>
      </c>
      <c r="K40" s="35" t="s">
        <v>19</v>
      </c>
      <c r="L40" s="47"/>
      <c r="M40" s="35" t="str">
        <f t="shared" si="1"/>
        <v>Encaje parcial</v>
      </c>
    </row>
    <row r="41" spans="1:13" x14ac:dyDescent="0.25">
      <c r="A41" s="22">
        <v>5</v>
      </c>
      <c r="B41" s="23" t="s">
        <v>462</v>
      </c>
      <c r="C41" s="23" t="s">
        <v>33</v>
      </c>
      <c r="D41" s="24" t="s">
        <v>252</v>
      </c>
      <c r="E41" s="22" t="s">
        <v>110</v>
      </c>
      <c r="F41" s="25" t="s">
        <v>18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Encaje perfecto</v>
      </c>
    </row>
    <row r="42" spans="1:13" ht="38.25" x14ac:dyDescent="0.25">
      <c r="A42" s="22">
        <v>5</v>
      </c>
      <c r="B42" s="23" t="s">
        <v>463</v>
      </c>
      <c r="C42" s="23" t="s">
        <v>464</v>
      </c>
      <c r="D42" s="27" t="s">
        <v>19</v>
      </c>
      <c r="E42" s="28" t="s">
        <v>19</v>
      </c>
      <c r="F42" s="29" t="s">
        <v>25</v>
      </c>
      <c r="G42" s="26"/>
      <c r="H42" s="23"/>
      <c r="I42" s="45" t="s">
        <v>327</v>
      </c>
      <c r="J42" s="35" t="s">
        <v>84</v>
      </c>
      <c r="K42" s="48" t="s">
        <v>85</v>
      </c>
      <c r="L42" s="47" t="s">
        <v>465</v>
      </c>
      <c r="M42" s="35" t="str">
        <f t="shared" si="1"/>
        <v>Encaje parcial</v>
      </c>
    </row>
    <row r="43" spans="1:13" ht="25.5" customHeight="1" x14ac:dyDescent="0.25">
      <c r="A43" s="22">
        <v>5</v>
      </c>
      <c r="B43" s="23" t="s">
        <v>87</v>
      </c>
      <c r="C43" s="23" t="s">
        <v>24</v>
      </c>
      <c r="D43" s="27" t="s">
        <v>19</v>
      </c>
      <c r="E43" s="28" t="s">
        <v>19</v>
      </c>
      <c r="F43" s="29" t="s">
        <v>25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No encaja</v>
      </c>
    </row>
    <row r="44" spans="1:13" x14ac:dyDescent="0.25">
      <c r="A44" s="22">
        <v>5</v>
      </c>
      <c r="B44" s="23" t="s">
        <v>88</v>
      </c>
      <c r="C44" s="23" t="s">
        <v>56</v>
      </c>
      <c r="D44" s="27" t="s">
        <v>19</v>
      </c>
      <c r="E44" s="28" t="s">
        <v>19</v>
      </c>
      <c r="F44" s="29" t="s">
        <v>25</v>
      </c>
      <c r="G44" s="26"/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5</v>
      </c>
      <c r="B45" s="23" t="s">
        <v>89</v>
      </c>
      <c r="C45" s="23" t="s">
        <v>90</v>
      </c>
      <c r="D45" s="24" t="s">
        <v>91</v>
      </c>
      <c r="E45" s="22" t="s">
        <v>65</v>
      </c>
      <c r="F45" s="30" t="s">
        <v>85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Encaje parcial</v>
      </c>
    </row>
    <row r="46" spans="1:13" ht="25.5" customHeight="1" x14ac:dyDescent="0.25">
      <c r="A46" s="22">
        <v>5</v>
      </c>
      <c r="B46" s="23" t="s">
        <v>92</v>
      </c>
      <c r="C46" s="23" t="s">
        <v>59</v>
      </c>
      <c r="D46" s="27" t="s">
        <v>19</v>
      </c>
      <c r="E46" s="28" t="s">
        <v>19</v>
      </c>
      <c r="F46" s="29" t="s">
        <v>25</v>
      </c>
      <c r="G46" s="26" t="s">
        <v>60</v>
      </c>
      <c r="H46" s="23"/>
      <c r="I46" s="35" t="s">
        <v>19</v>
      </c>
      <c r="J46" s="35" t="s">
        <v>19</v>
      </c>
      <c r="K46" s="35" t="s">
        <v>19</v>
      </c>
      <c r="L46" s="47"/>
      <c r="M46" s="35" t="str">
        <f t="shared" si="1"/>
        <v>No encaja</v>
      </c>
    </row>
    <row r="47" spans="1:13" x14ac:dyDescent="0.25">
      <c r="A47" s="22">
        <v>6</v>
      </c>
      <c r="B47" s="23" t="s">
        <v>381</v>
      </c>
      <c r="C47" s="23" t="s">
        <v>357</v>
      </c>
      <c r="D47" s="24" t="s">
        <v>282</v>
      </c>
      <c r="E47" s="22" t="s">
        <v>110</v>
      </c>
      <c r="F47" s="25" t="s">
        <v>18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Encaje perfecto</v>
      </c>
    </row>
    <row r="48" spans="1:13" x14ac:dyDescent="0.25">
      <c r="A48" s="22">
        <v>6</v>
      </c>
      <c r="B48" s="23" t="s">
        <v>466</v>
      </c>
      <c r="C48" s="23" t="s">
        <v>33</v>
      </c>
      <c r="D48" s="27" t="s">
        <v>19</v>
      </c>
      <c r="E48" s="28" t="s">
        <v>19</v>
      </c>
      <c r="F48" s="29" t="s">
        <v>25</v>
      </c>
      <c r="G48" s="26"/>
      <c r="H48" s="23"/>
      <c r="I48" s="35" t="s">
        <v>19</v>
      </c>
      <c r="J48" s="35" t="s">
        <v>19</v>
      </c>
      <c r="K48" s="35" t="s">
        <v>19</v>
      </c>
      <c r="L48" s="47"/>
      <c r="M48" s="35" t="str">
        <f t="shared" si="1"/>
        <v>No encaja</v>
      </c>
    </row>
    <row r="49" spans="1:13" x14ac:dyDescent="0.25">
      <c r="A49" s="22">
        <v>6</v>
      </c>
      <c r="B49" s="23" t="s">
        <v>467</v>
      </c>
      <c r="C49" s="23" t="s">
        <v>456</v>
      </c>
      <c r="D49" s="27" t="s">
        <v>19</v>
      </c>
      <c r="E49" s="28" t="s">
        <v>19</v>
      </c>
      <c r="F49" s="29" t="s">
        <v>25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No encaja</v>
      </c>
    </row>
    <row r="50" spans="1:13" x14ac:dyDescent="0.25">
      <c r="A50" s="22">
        <v>6</v>
      </c>
      <c r="B50" s="23" t="s">
        <v>468</v>
      </c>
      <c r="C50" s="23" t="s">
        <v>456</v>
      </c>
      <c r="D50" s="27" t="s">
        <v>19</v>
      </c>
      <c r="E50" s="28" t="s">
        <v>19</v>
      </c>
      <c r="F50" s="29" t="s">
        <v>25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No encaja</v>
      </c>
    </row>
    <row r="51" spans="1:13" x14ac:dyDescent="0.25">
      <c r="A51" s="22">
        <v>6</v>
      </c>
      <c r="B51" s="23" t="s">
        <v>469</v>
      </c>
      <c r="C51" s="23" t="s">
        <v>470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x14ac:dyDescent="0.25">
      <c r="A52" s="22">
        <v>6</v>
      </c>
      <c r="B52" s="23" t="s">
        <v>107</v>
      </c>
      <c r="C52" s="23" t="s">
        <v>108</v>
      </c>
      <c r="D52" s="24" t="s">
        <v>109</v>
      </c>
      <c r="E52" s="22" t="s">
        <v>110</v>
      </c>
      <c r="F52" s="25" t="s">
        <v>18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Encaje perfecto</v>
      </c>
    </row>
    <row r="53" spans="1:13" x14ac:dyDescent="0.25">
      <c r="A53" s="22">
        <v>6</v>
      </c>
      <c r="B53" s="23" t="s">
        <v>111</v>
      </c>
      <c r="C53" s="23" t="s">
        <v>56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112</v>
      </c>
      <c r="C54" s="23" t="s">
        <v>24</v>
      </c>
      <c r="D54" s="27" t="s">
        <v>19</v>
      </c>
      <c r="E54" s="28" t="s">
        <v>19</v>
      </c>
      <c r="F54" s="29" t="s">
        <v>25</v>
      </c>
      <c r="G54" s="26"/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6</v>
      </c>
      <c r="B55" s="23" t="s">
        <v>113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6</v>
      </c>
      <c r="B56" s="23" t="s">
        <v>114</v>
      </c>
      <c r="C56" s="23" t="s">
        <v>59</v>
      </c>
      <c r="D56" s="27" t="s">
        <v>19</v>
      </c>
      <c r="E56" s="28" t="s">
        <v>19</v>
      </c>
      <c r="F56" s="29" t="s">
        <v>25</v>
      </c>
      <c r="G56" s="26" t="s">
        <v>60</v>
      </c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115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7</v>
      </c>
      <c r="B58" s="23" t="s">
        <v>116</v>
      </c>
      <c r="C58" s="23" t="s">
        <v>24</v>
      </c>
      <c r="D58" s="27" t="s">
        <v>19</v>
      </c>
      <c r="E58" s="28" t="s">
        <v>19</v>
      </c>
      <c r="F58" s="29" t="s">
        <v>25</v>
      </c>
      <c r="G58" s="26"/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7</v>
      </c>
      <c r="B59" s="23" t="s">
        <v>117</v>
      </c>
      <c r="C59" s="23" t="s">
        <v>24</v>
      </c>
      <c r="D59" s="27" t="s">
        <v>19</v>
      </c>
      <c r="E59" s="28" t="s">
        <v>19</v>
      </c>
      <c r="F59" s="29" t="s">
        <v>25</v>
      </c>
      <c r="G59" s="26"/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118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121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122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123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124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125</v>
      </c>
      <c r="C65" s="23" t="s">
        <v>119</v>
      </c>
      <c r="D65" s="27" t="s">
        <v>19</v>
      </c>
      <c r="E65" s="28" t="s">
        <v>19</v>
      </c>
      <c r="F65" s="29" t="s">
        <v>25</v>
      </c>
      <c r="G65" s="26" t="s">
        <v>120</v>
      </c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126</v>
      </c>
      <c r="C66" s="23" t="s">
        <v>119</v>
      </c>
      <c r="D66" s="27" t="s">
        <v>19</v>
      </c>
      <c r="E66" s="28" t="s">
        <v>19</v>
      </c>
      <c r="F66" s="29" t="s">
        <v>25</v>
      </c>
      <c r="G66" s="26" t="s">
        <v>120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  <row r="67" spans="1:13" ht="25.5" customHeight="1" x14ac:dyDescent="0.25">
      <c r="A67" s="22">
        <v>8</v>
      </c>
      <c r="B67" s="23" t="s">
        <v>127</v>
      </c>
      <c r="C67" s="23" t="s">
        <v>24</v>
      </c>
      <c r="D67" s="27" t="s">
        <v>19</v>
      </c>
      <c r="E67" s="28" t="s">
        <v>19</v>
      </c>
      <c r="F67" s="29" t="s">
        <v>25</v>
      </c>
      <c r="G67" s="26"/>
      <c r="H67" s="23"/>
      <c r="I67" s="35" t="s">
        <v>19</v>
      </c>
      <c r="J67" s="35" t="s">
        <v>19</v>
      </c>
      <c r="K67" s="35" t="s">
        <v>19</v>
      </c>
      <c r="L67" s="47"/>
      <c r="M67" s="35" t="str">
        <f t="shared" si="1"/>
        <v>No encaja</v>
      </c>
    </row>
    <row r="68" spans="1:13" ht="25.5" customHeight="1" x14ac:dyDescent="0.25">
      <c r="A68" s="22">
        <v>8</v>
      </c>
      <c r="B68" s="23" t="s">
        <v>128</v>
      </c>
      <c r="C68" s="23" t="s">
        <v>59</v>
      </c>
      <c r="D68" s="27" t="s">
        <v>19</v>
      </c>
      <c r="E68" s="28" t="s">
        <v>19</v>
      </c>
      <c r="F68" s="29" t="s">
        <v>25</v>
      </c>
      <c r="G68" s="26" t="s">
        <v>60</v>
      </c>
      <c r="H68" s="23"/>
      <c r="I68" s="35" t="s">
        <v>19</v>
      </c>
      <c r="J68" s="35" t="s">
        <v>19</v>
      </c>
      <c r="K68" s="35" t="s">
        <v>19</v>
      </c>
      <c r="L68" s="47"/>
      <c r="M68" s="35" t="str">
        <f t="shared" si="1"/>
        <v>No encaja</v>
      </c>
    </row>
  </sheetData>
  <conditionalFormatting sqref="M3:M68">
    <cfRule type="cellIs" dxfId="8" priority="1" operator="equal">
      <formula>"Encaje perfecto"</formula>
    </cfRule>
    <cfRule type="cellIs" dxfId="7" priority="2" operator="equal">
      <formula>"Encaje parcial"</formula>
    </cfRule>
    <cfRule type="cellIs" dxfId="6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6"/>
  <sheetViews>
    <sheetView showGridLines="0" zoomScaleNormal="100" workbookViewId="0">
      <pane ySplit="2" topLeftCell="A55" activePane="bottomLeft" state="frozen"/>
      <selection pane="bottomLeft" activeCell="K47" sqref="B47:K48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0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35" t="s">
        <v>19</v>
      </c>
      <c r="J6" s="35" t="s">
        <v>19</v>
      </c>
      <c r="K6" s="35" t="s">
        <v>19</v>
      </c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48</v>
      </c>
      <c r="C21" s="23" t="s">
        <v>49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50</v>
      </c>
      <c r="C22" s="23" t="s">
        <v>51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52</v>
      </c>
      <c r="C23" s="23" t="s">
        <v>53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ht="25.5" customHeight="1" x14ac:dyDescent="0.25">
      <c r="A24" s="22">
        <v>3</v>
      </c>
      <c r="B24" s="23" t="s">
        <v>54</v>
      </c>
      <c r="C24" s="23" t="s">
        <v>24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x14ac:dyDescent="0.25">
      <c r="A25" s="22">
        <v>3</v>
      </c>
      <c r="B25" s="23" t="s">
        <v>55</v>
      </c>
      <c r="C25" s="23" t="s">
        <v>56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57</v>
      </c>
      <c r="C26" s="23" t="s">
        <v>24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58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61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x14ac:dyDescent="0.25">
      <c r="A29" s="22">
        <v>4</v>
      </c>
      <c r="B29" s="23" t="s">
        <v>62</v>
      </c>
      <c r="C29" s="23" t="s">
        <v>49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63</v>
      </c>
      <c r="C30" s="23" t="s">
        <v>30</v>
      </c>
      <c r="D30" s="24" t="s">
        <v>64</v>
      </c>
      <c r="E30" s="22" t="s">
        <v>65</v>
      </c>
      <c r="F30" s="25" t="s">
        <v>18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Encaje perfecto</v>
      </c>
    </row>
    <row r="31" spans="1:13" x14ac:dyDescent="0.25">
      <c r="A31" s="22">
        <v>4</v>
      </c>
      <c r="B31" s="23" t="s">
        <v>66</v>
      </c>
      <c r="C31" s="23" t="s">
        <v>30</v>
      </c>
      <c r="D31" s="24" t="s">
        <v>67</v>
      </c>
      <c r="E31" s="22" t="s">
        <v>65</v>
      </c>
      <c r="F31" s="25" t="s">
        <v>18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Encaje perfecto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6" si="1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72</v>
      </c>
      <c r="C36" s="23" t="s">
        <v>49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x14ac:dyDescent="0.25">
      <c r="A37" s="22">
        <v>5</v>
      </c>
      <c r="B37" s="23" t="s">
        <v>73</v>
      </c>
      <c r="C37" s="23" t="s">
        <v>27</v>
      </c>
      <c r="D37" s="24" t="s">
        <v>74</v>
      </c>
      <c r="E37" s="22" t="s">
        <v>65</v>
      </c>
      <c r="F37" s="25" t="s">
        <v>18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Encaje perfecto</v>
      </c>
    </row>
    <row r="38" spans="1:13" x14ac:dyDescent="0.25">
      <c r="A38" s="22">
        <v>5</v>
      </c>
      <c r="B38" s="23" t="s">
        <v>75</v>
      </c>
      <c r="C38" s="23" t="s">
        <v>76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77</v>
      </c>
      <c r="C39" s="23" t="s">
        <v>33</v>
      </c>
      <c r="D39" s="24" t="s">
        <v>78</v>
      </c>
      <c r="E39" s="22" t="s">
        <v>79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Encaje perfecto</v>
      </c>
    </row>
    <row r="40" spans="1:13" ht="25.5" customHeight="1" x14ac:dyDescent="0.25">
      <c r="A40" s="22">
        <v>5</v>
      </c>
      <c r="B40" s="23" t="s">
        <v>80</v>
      </c>
      <c r="C40" s="23" t="s">
        <v>81</v>
      </c>
      <c r="D40" s="27" t="s">
        <v>19</v>
      </c>
      <c r="E40" s="28" t="s">
        <v>19</v>
      </c>
      <c r="F40" s="29" t="s">
        <v>25</v>
      </c>
      <c r="G40" s="26" t="s">
        <v>82</v>
      </c>
      <c r="H40" s="23"/>
      <c r="I40" s="45" t="s">
        <v>83</v>
      </c>
      <c r="J40" s="35" t="s">
        <v>84</v>
      </c>
      <c r="K40" s="48" t="s">
        <v>85</v>
      </c>
      <c r="L40" s="47" t="s">
        <v>86</v>
      </c>
      <c r="M40" s="35" t="str">
        <f t="shared" si="1"/>
        <v>Encaje parcial</v>
      </c>
    </row>
    <row r="41" spans="1:13" ht="25.5" customHeight="1" x14ac:dyDescent="0.25">
      <c r="A41" s="22">
        <v>5</v>
      </c>
      <c r="B41" s="23" t="s">
        <v>87</v>
      </c>
      <c r="C41" s="23" t="s">
        <v>24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88</v>
      </c>
      <c r="C42" s="23" t="s">
        <v>56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89</v>
      </c>
      <c r="C43" s="23" t="s">
        <v>90</v>
      </c>
      <c r="D43" s="24" t="s">
        <v>91</v>
      </c>
      <c r="E43" s="22" t="s">
        <v>65</v>
      </c>
      <c r="F43" s="30" t="s">
        <v>85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Encaje parcial</v>
      </c>
    </row>
    <row r="44" spans="1:13" ht="25.5" customHeight="1" x14ac:dyDescent="0.25">
      <c r="A44" s="22">
        <v>5</v>
      </c>
      <c r="B44" s="23" t="s">
        <v>92</v>
      </c>
      <c r="C44" s="23" t="s">
        <v>59</v>
      </c>
      <c r="D44" s="27" t="s">
        <v>19</v>
      </c>
      <c r="E44" s="28" t="s">
        <v>19</v>
      </c>
      <c r="F44" s="29" t="s">
        <v>25</v>
      </c>
      <c r="G44" s="26" t="s">
        <v>60</v>
      </c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6</v>
      </c>
      <c r="B45" s="23" t="s">
        <v>93</v>
      </c>
      <c r="C45" s="23" t="s">
        <v>49</v>
      </c>
      <c r="D45" s="27" t="s">
        <v>19</v>
      </c>
      <c r="E45" s="28" t="s">
        <v>19</v>
      </c>
      <c r="F45" s="29" t="s">
        <v>25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ht="38.25" x14ac:dyDescent="0.25">
      <c r="A46" s="22">
        <v>6</v>
      </c>
      <c r="B46" s="23" t="s">
        <v>94</v>
      </c>
      <c r="C46" s="23" t="s">
        <v>95</v>
      </c>
      <c r="D46" s="27" t="s">
        <v>19</v>
      </c>
      <c r="E46" s="28" t="s">
        <v>19</v>
      </c>
      <c r="F46" s="29" t="s">
        <v>25</v>
      </c>
      <c r="G46" s="26"/>
      <c r="H46" s="23"/>
      <c r="I46" s="45" t="s">
        <v>96</v>
      </c>
      <c r="J46" s="35" t="s">
        <v>97</v>
      </c>
      <c r="K46" s="48" t="s">
        <v>85</v>
      </c>
      <c r="L46" s="47" t="s">
        <v>98</v>
      </c>
      <c r="M46" s="35" t="str">
        <f t="shared" si="1"/>
        <v>Encaje parcial</v>
      </c>
    </row>
    <row r="47" spans="1:13" x14ac:dyDescent="0.25">
      <c r="A47" s="22">
        <v>6</v>
      </c>
      <c r="B47" s="23" t="s">
        <v>99</v>
      </c>
      <c r="C47" s="23" t="s">
        <v>100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ht="38.25" x14ac:dyDescent="0.25">
      <c r="A48" s="22">
        <v>6</v>
      </c>
      <c r="B48" s="23" t="s">
        <v>101</v>
      </c>
      <c r="C48" s="23" t="s">
        <v>30</v>
      </c>
      <c r="D48" s="27" t="s">
        <v>19</v>
      </c>
      <c r="E48" s="28" t="s">
        <v>19</v>
      </c>
      <c r="F48" s="29" t="s">
        <v>25</v>
      </c>
      <c r="G48" s="26"/>
      <c r="H48" s="23"/>
      <c r="I48" s="45" t="s">
        <v>102</v>
      </c>
      <c r="J48" s="35" t="s">
        <v>103</v>
      </c>
      <c r="K48" s="48" t="s">
        <v>85</v>
      </c>
      <c r="L48" s="47" t="s">
        <v>104</v>
      </c>
      <c r="M48" s="35" t="str">
        <f t="shared" si="1"/>
        <v>Encaje parcial</v>
      </c>
    </row>
    <row r="49" spans="1:13" x14ac:dyDescent="0.25">
      <c r="A49" s="22">
        <v>6</v>
      </c>
      <c r="B49" s="23" t="s">
        <v>105</v>
      </c>
      <c r="C49" s="23" t="s">
        <v>27</v>
      </c>
      <c r="D49" s="24" t="s">
        <v>106</v>
      </c>
      <c r="E49" s="22" t="s">
        <v>79</v>
      </c>
      <c r="F49" s="30" t="s">
        <v>85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parcial</v>
      </c>
    </row>
    <row r="50" spans="1:13" x14ac:dyDescent="0.25">
      <c r="A50" s="22">
        <v>6</v>
      </c>
      <c r="B50" s="23" t="s">
        <v>107</v>
      </c>
      <c r="C50" s="23" t="s">
        <v>108</v>
      </c>
      <c r="D50" s="24" t="s">
        <v>109</v>
      </c>
      <c r="E50" s="22" t="s">
        <v>110</v>
      </c>
      <c r="F50" s="25" t="s">
        <v>18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Encaje perfecto</v>
      </c>
    </row>
    <row r="51" spans="1:13" x14ac:dyDescent="0.25">
      <c r="A51" s="22">
        <v>6</v>
      </c>
      <c r="B51" s="23" t="s">
        <v>111</v>
      </c>
      <c r="C51" s="23" t="s">
        <v>56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ht="25.5" customHeight="1" x14ac:dyDescent="0.25">
      <c r="A52" s="22">
        <v>6</v>
      </c>
      <c r="B52" s="23" t="s">
        <v>112</v>
      </c>
      <c r="C52" s="23" t="s">
        <v>24</v>
      </c>
      <c r="D52" s="27" t="s">
        <v>19</v>
      </c>
      <c r="E52" s="28" t="s">
        <v>19</v>
      </c>
      <c r="F52" s="29" t="s">
        <v>25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No encaja</v>
      </c>
    </row>
    <row r="53" spans="1:13" ht="25.5" customHeight="1" x14ac:dyDescent="0.25">
      <c r="A53" s="22">
        <v>6</v>
      </c>
      <c r="B53" s="23" t="s">
        <v>113</v>
      </c>
      <c r="C53" s="23" t="s">
        <v>24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114</v>
      </c>
      <c r="C54" s="23" t="s">
        <v>59</v>
      </c>
      <c r="D54" s="27" t="s">
        <v>19</v>
      </c>
      <c r="E54" s="28" t="s">
        <v>19</v>
      </c>
      <c r="F54" s="29" t="s">
        <v>25</v>
      </c>
      <c r="G54" s="26" t="s">
        <v>60</v>
      </c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7</v>
      </c>
      <c r="B55" s="23" t="s">
        <v>115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7</v>
      </c>
      <c r="B56" s="23" t="s">
        <v>116</v>
      </c>
      <c r="C56" s="23" t="s">
        <v>24</v>
      </c>
      <c r="D56" s="27" t="s">
        <v>19</v>
      </c>
      <c r="E56" s="28" t="s">
        <v>19</v>
      </c>
      <c r="F56" s="29" t="s">
        <v>25</v>
      </c>
      <c r="G56" s="26"/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117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8</v>
      </c>
      <c r="B58" s="23" t="s">
        <v>118</v>
      </c>
      <c r="C58" s="23" t="s">
        <v>119</v>
      </c>
      <c r="D58" s="27" t="s">
        <v>19</v>
      </c>
      <c r="E58" s="28" t="s">
        <v>19</v>
      </c>
      <c r="F58" s="29" t="s">
        <v>25</v>
      </c>
      <c r="G58" s="26" t="s">
        <v>120</v>
      </c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8</v>
      </c>
      <c r="B59" s="23" t="s">
        <v>121</v>
      </c>
      <c r="C59" s="23" t="s">
        <v>119</v>
      </c>
      <c r="D59" s="27" t="s">
        <v>19</v>
      </c>
      <c r="E59" s="28" t="s">
        <v>19</v>
      </c>
      <c r="F59" s="29" t="s">
        <v>25</v>
      </c>
      <c r="G59" s="26" t="s">
        <v>120</v>
      </c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122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123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124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125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126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127</v>
      </c>
      <c r="C65" s="23" t="s">
        <v>24</v>
      </c>
      <c r="D65" s="27" t="s">
        <v>19</v>
      </c>
      <c r="E65" s="28" t="s">
        <v>19</v>
      </c>
      <c r="F65" s="29" t="s">
        <v>25</v>
      </c>
      <c r="G65" s="26"/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128</v>
      </c>
      <c r="C66" s="23" t="s">
        <v>59</v>
      </c>
      <c r="D66" s="27" t="s">
        <v>19</v>
      </c>
      <c r="E66" s="28" t="s">
        <v>19</v>
      </c>
      <c r="F66" s="29" t="s">
        <v>25</v>
      </c>
      <c r="G66" s="26" t="s">
        <v>60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</sheetData>
  <conditionalFormatting sqref="M3:M66">
    <cfRule type="cellIs" dxfId="5" priority="1" operator="equal">
      <formula>"Encaje perfecto"</formula>
    </cfRule>
    <cfRule type="cellIs" dxfId="4" priority="2" operator="equal">
      <formula>"Encaje parcial"</formula>
    </cfRule>
    <cfRule type="cellIs" dxfId="3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6"/>
  <sheetViews>
    <sheetView showGridLines="0" zoomScaleNormal="100" workbookViewId="0">
      <pane ySplit="2" topLeftCell="A3" activePane="bottomLeft" state="frozen"/>
      <selection activeCell="D33" sqref="D33"/>
      <selection pane="bottomLeft" activeCell="H18" sqref="H18"/>
    </sheetView>
  </sheetViews>
  <sheetFormatPr baseColWidth="10" defaultColWidth="8.7109375" defaultRowHeight="15" x14ac:dyDescent="0.25"/>
  <cols>
    <col min="1" max="1" width="10" customWidth="1"/>
    <col min="2" max="2" width="46" customWidth="1"/>
    <col min="3" max="4" width="30" customWidth="1"/>
    <col min="5" max="5" width="12" customWidth="1"/>
    <col min="6" max="6" width="16" customWidth="1"/>
    <col min="7" max="7" width="42" customWidth="1"/>
    <col min="8" max="8" width="20" customWidth="1"/>
    <col min="9" max="9" width="24" customWidth="1"/>
    <col min="10" max="10" width="20" customWidth="1"/>
    <col min="11" max="11" width="16" customWidth="1"/>
    <col min="12" max="12" width="60" customWidth="1"/>
    <col min="13" max="13" width="18" customWidth="1"/>
  </cols>
  <sheetData>
    <row r="1" spans="1:13" ht="16.5" customHeight="1" x14ac:dyDescent="0.25">
      <c r="A1" s="21" t="s">
        <v>471</v>
      </c>
    </row>
    <row r="2" spans="1:13" ht="30" customHeight="1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4" t="s">
        <v>9</v>
      </c>
      <c r="J2" s="34" t="s">
        <v>10</v>
      </c>
      <c r="K2" s="34" t="s">
        <v>11</v>
      </c>
      <c r="L2" s="34" t="s">
        <v>12</v>
      </c>
      <c r="M2" s="34" t="s">
        <v>13</v>
      </c>
    </row>
    <row r="3" spans="1:13" x14ac:dyDescent="0.25">
      <c r="A3" s="22">
        <v>1</v>
      </c>
      <c r="B3" s="23" t="s">
        <v>14</v>
      </c>
      <c r="C3" s="23" t="s">
        <v>15</v>
      </c>
      <c r="D3" s="24" t="s">
        <v>16</v>
      </c>
      <c r="E3" s="22" t="s">
        <v>17</v>
      </c>
      <c r="F3" s="25" t="s">
        <v>18</v>
      </c>
      <c r="G3" s="26"/>
      <c r="H3" s="23"/>
      <c r="I3" s="35" t="s">
        <v>19</v>
      </c>
      <c r="J3" s="35" t="s">
        <v>19</v>
      </c>
      <c r="K3" s="35" t="s">
        <v>19</v>
      </c>
      <c r="L3" s="47"/>
      <c r="M3" s="35" t="str">
        <f t="shared" ref="M3:M34" si="0">IF(OR(F3="Encaje perfecto",K3="Encaje perfecto"),"Encaje perfecto",IF(OR(F3="Encaje parcial",K3="Encaje parcial"),"Encaje parcial","No encaja"))</f>
        <v>Encaje perfecto</v>
      </c>
    </row>
    <row r="4" spans="1:13" x14ac:dyDescent="0.25">
      <c r="A4" s="22">
        <v>1</v>
      </c>
      <c r="B4" s="23" t="s">
        <v>20</v>
      </c>
      <c r="C4" s="23" t="s">
        <v>21</v>
      </c>
      <c r="D4" s="24" t="s">
        <v>22</v>
      </c>
      <c r="E4" s="22" t="s">
        <v>17</v>
      </c>
      <c r="F4" s="25" t="s">
        <v>18</v>
      </c>
      <c r="G4" s="26"/>
      <c r="H4" s="23"/>
      <c r="I4" s="35" t="s">
        <v>19</v>
      </c>
      <c r="J4" s="35" t="s">
        <v>19</v>
      </c>
      <c r="K4" s="35" t="s">
        <v>19</v>
      </c>
      <c r="L4" s="47"/>
      <c r="M4" s="35" t="str">
        <f t="shared" si="0"/>
        <v>Encaje perfecto</v>
      </c>
    </row>
    <row r="5" spans="1:13" ht="25.5" customHeight="1" x14ac:dyDescent="0.25">
      <c r="A5" s="22">
        <v>1</v>
      </c>
      <c r="B5" s="23" t="s">
        <v>23</v>
      </c>
      <c r="C5" s="23" t="s">
        <v>24</v>
      </c>
      <c r="D5" s="27" t="s">
        <v>19</v>
      </c>
      <c r="E5" s="28" t="s">
        <v>19</v>
      </c>
      <c r="F5" s="29" t="s">
        <v>25</v>
      </c>
      <c r="G5" s="26"/>
      <c r="H5" s="23"/>
      <c r="I5" s="35" t="s">
        <v>19</v>
      </c>
      <c r="J5" s="35" t="s">
        <v>19</v>
      </c>
      <c r="K5" s="35" t="s">
        <v>19</v>
      </c>
      <c r="L5" s="47"/>
      <c r="M5" s="35" t="str">
        <f t="shared" si="0"/>
        <v>No encaja</v>
      </c>
    </row>
    <row r="6" spans="1:13" x14ac:dyDescent="0.25">
      <c r="A6" s="22">
        <v>1</v>
      </c>
      <c r="B6" s="23" t="s">
        <v>26</v>
      </c>
      <c r="C6" s="23" t="s">
        <v>27</v>
      </c>
      <c r="D6" s="27" t="s">
        <v>19</v>
      </c>
      <c r="E6" s="28" t="s">
        <v>19</v>
      </c>
      <c r="F6" s="29" t="s">
        <v>25</v>
      </c>
      <c r="G6" s="26"/>
      <c r="H6" s="23"/>
      <c r="I6" s="35" t="s">
        <v>19</v>
      </c>
      <c r="J6" s="35" t="s">
        <v>19</v>
      </c>
      <c r="K6" s="35" t="s">
        <v>19</v>
      </c>
      <c r="L6" s="47"/>
      <c r="M6" s="35" t="str">
        <f t="shared" si="0"/>
        <v>No encaja</v>
      </c>
    </row>
    <row r="7" spans="1:13" ht="25.5" customHeight="1" x14ac:dyDescent="0.25">
      <c r="A7" s="22">
        <v>1</v>
      </c>
      <c r="B7" s="23" t="s">
        <v>28</v>
      </c>
      <c r="C7" s="23" t="s">
        <v>24</v>
      </c>
      <c r="D7" s="27" t="s">
        <v>19</v>
      </c>
      <c r="E7" s="28" t="s">
        <v>19</v>
      </c>
      <c r="F7" s="29" t="s">
        <v>25</v>
      </c>
      <c r="G7" s="26"/>
      <c r="H7" s="23"/>
      <c r="I7" s="35" t="s">
        <v>19</v>
      </c>
      <c r="J7" s="35" t="s">
        <v>19</v>
      </c>
      <c r="K7" s="35" t="s">
        <v>19</v>
      </c>
      <c r="L7" s="47"/>
      <c r="M7" s="35" t="str">
        <f t="shared" si="0"/>
        <v>No encaja</v>
      </c>
    </row>
    <row r="8" spans="1:13" x14ac:dyDescent="0.25">
      <c r="A8" s="22">
        <v>1</v>
      </c>
      <c r="B8" s="23" t="s">
        <v>29</v>
      </c>
      <c r="C8" s="23" t="s">
        <v>30</v>
      </c>
      <c r="D8" s="24" t="s">
        <v>31</v>
      </c>
      <c r="E8" s="22" t="s">
        <v>17</v>
      </c>
      <c r="F8" s="25" t="s">
        <v>18</v>
      </c>
      <c r="G8" s="26"/>
      <c r="H8" s="23"/>
      <c r="I8" s="35" t="s">
        <v>19</v>
      </c>
      <c r="J8" s="35" t="s">
        <v>19</v>
      </c>
      <c r="K8" s="35" t="s">
        <v>19</v>
      </c>
      <c r="L8" s="47"/>
      <c r="M8" s="35" t="str">
        <f t="shared" si="0"/>
        <v>Encaje perfecto</v>
      </c>
    </row>
    <row r="9" spans="1:13" x14ac:dyDescent="0.25">
      <c r="A9" s="22">
        <v>1</v>
      </c>
      <c r="B9" s="23" t="s">
        <v>32</v>
      </c>
      <c r="C9" s="23" t="s">
        <v>33</v>
      </c>
      <c r="D9" s="32" t="s">
        <v>34</v>
      </c>
      <c r="E9" s="22" t="s">
        <v>17</v>
      </c>
      <c r="F9" s="30" t="s">
        <v>85</v>
      </c>
      <c r="G9" s="26"/>
      <c r="H9" s="23"/>
      <c r="I9" s="35" t="s">
        <v>19</v>
      </c>
      <c r="J9" s="35" t="s">
        <v>19</v>
      </c>
      <c r="K9" s="35" t="s">
        <v>19</v>
      </c>
      <c r="L9" s="47"/>
      <c r="M9" s="35" t="str">
        <f t="shared" si="0"/>
        <v>Encaje parcial</v>
      </c>
    </row>
    <row r="10" spans="1:13" x14ac:dyDescent="0.25">
      <c r="A10" s="22">
        <v>1</v>
      </c>
      <c r="B10" s="23" t="s">
        <v>35</v>
      </c>
      <c r="C10" s="23" t="s">
        <v>36</v>
      </c>
      <c r="D10" s="27" t="s">
        <v>19</v>
      </c>
      <c r="E10" s="28" t="s">
        <v>19</v>
      </c>
      <c r="F10" s="29" t="s">
        <v>25</v>
      </c>
      <c r="G10" s="26"/>
      <c r="H10" s="23"/>
      <c r="I10" s="35" t="s">
        <v>19</v>
      </c>
      <c r="J10" s="35" t="s">
        <v>19</v>
      </c>
      <c r="K10" s="35" t="s">
        <v>19</v>
      </c>
      <c r="L10" s="47"/>
      <c r="M10" s="35" t="str">
        <f t="shared" si="0"/>
        <v>No encaja</v>
      </c>
    </row>
    <row r="11" spans="1:13" ht="25.5" customHeight="1" x14ac:dyDescent="0.25">
      <c r="A11" s="22">
        <v>1</v>
      </c>
      <c r="B11" s="23" t="s">
        <v>37</v>
      </c>
      <c r="C11" s="23" t="s">
        <v>24</v>
      </c>
      <c r="D11" s="27" t="s">
        <v>19</v>
      </c>
      <c r="E11" s="28" t="s">
        <v>19</v>
      </c>
      <c r="F11" s="29" t="s">
        <v>25</v>
      </c>
      <c r="G11" s="26"/>
      <c r="H11" s="23"/>
      <c r="I11" s="35" t="s">
        <v>19</v>
      </c>
      <c r="J11" s="35" t="s">
        <v>19</v>
      </c>
      <c r="K11" s="35" t="s">
        <v>19</v>
      </c>
      <c r="L11" s="47"/>
      <c r="M11" s="35" t="str">
        <f t="shared" si="0"/>
        <v>No encaja</v>
      </c>
    </row>
    <row r="12" spans="1:13" ht="25.5" customHeight="1" x14ac:dyDescent="0.25">
      <c r="A12" s="22">
        <v>2</v>
      </c>
      <c r="B12" s="23" t="s">
        <v>38</v>
      </c>
      <c r="C12" s="23" t="s">
        <v>24</v>
      </c>
      <c r="D12" s="27" t="s">
        <v>19</v>
      </c>
      <c r="E12" s="28" t="s">
        <v>19</v>
      </c>
      <c r="F12" s="29" t="s">
        <v>25</v>
      </c>
      <c r="G12" s="26"/>
      <c r="H12" s="23"/>
      <c r="I12" s="35" t="s">
        <v>19</v>
      </c>
      <c r="J12" s="35" t="s">
        <v>19</v>
      </c>
      <c r="K12" s="35" t="s">
        <v>19</v>
      </c>
      <c r="L12" s="47"/>
      <c r="M12" s="35" t="str">
        <f t="shared" si="0"/>
        <v>No encaja</v>
      </c>
    </row>
    <row r="13" spans="1:13" x14ac:dyDescent="0.25">
      <c r="A13" s="22">
        <v>2</v>
      </c>
      <c r="B13" s="23" t="s">
        <v>39</v>
      </c>
      <c r="C13" s="23" t="s">
        <v>21</v>
      </c>
      <c r="D13" s="24" t="s">
        <v>40</v>
      </c>
      <c r="E13" s="22" t="s">
        <v>17</v>
      </c>
      <c r="F13" s="25" t="s">
        <v>18</v>
      </c>
      <c r="G13" s="26"/>
      <c r="H13" s="23"/>
      <c r="I13" s="35" t="s">
        <v>19</v>
      </c>
      <c r="J13" s="35" t="s">
        <v>19</v>
      </c>
      <c r="K13" s="35" t="s">
        <v>19</v>
      </c>
      <c r="L13" s="47"/>
      <c r="M13" s="35" t="str">
        <f t="shared" si="0"/>
        <v>Encaje perfecto</v>
      </c>
    </row>
    <row r="14" spans="1:13" ht="25.5" customHeight="1" x14ac:dyDescent="0.25">
      <c r="A14" s="22">
        <v>2</v>
      </c>
      <c r="B14" s="23" t="s">
        <v>41</v>
      </c>
      <c r="C14" s="23" t="s">
        <v>24</v>
      </c>
      <c r="D14" s="27" t="s">
        <v>19</v>
      </c>
      <c r="E14" s="28" t="s">
        <v>19</v>
      </c>
      <c r="F14" s="29" t="s">
        <v>25</v>
      </c>
      <c r="G14" s="26"/>
      <c r="H14" s="23"/>
      <c r="I14" s="35" t="s">
        <v>19</v>
      </c>
      <c r="J14" s="35" t="s">
        <v>19</v>
      </c>
      <c r="K14" s="35" t="s">
        <v>19</v>
      </c>
      <c r="L14" s="47"/>
      <c r="M14" s="35" t="str">
        <f t="shared" si="0"/>
        <v>No encaja</v>
      </c>
    </row>
    <row r="15" spans="1:13" ht="25.5" customHeight="1" x14ac:dyDescent="0.25">
      <c r="A15" s="22">
        <v>2</v>
      </c>
      <c r="B15" s="23" t="s">
        <v>42</v>
      </c>
      <c r="C15" s="23" t="s">
        <v>24</v>
      </c>
      <c r="D15" s="27" t="s">
        <v>19</v>
      </c>
      <c r="E15" s="28" t="s">
        <v>19</v>
      </c>
      <c r="F15" s="29" t="s">
        <v>25</v>
      </c>
      <c r="G15" s="26"/>
      <c r="H15" s="23"/>
      <c r="I15" s="35" t="s">
        <v>19</v>
      </c>
      <c r="J15" s="35" t="s">
        <v>19</v>
      </c>
      <c r="K15" s="35" t="s">
        <v>19</v>
      </c>
      <c r="L15" s="47"/>
      <c r="M15" s="35" t="str">
        <f t="shared" si="0"/>
        <v>No encaja</v>
      </c>
    </row>
    <row r="16" spans="1:13" ht="25.5" customHeight="1" x14ac:dyDescent="0.25">
      <c r="A16" s="22">
        <v>2</v>
      </c>
      <c r="B16" s="23" t="s">
        <v>43</v>
      </c>
      <c r="C16" s="23" t="s">
        <v>24</v>
      </c>
      <c r="D16" s="27" t="s">
        <v>19</v>
      </c>
      <c r="E16" s="28" t="s">
        <v>19</v>
      </c>
      <c r="F16" s="29" t="s">
        <v>25</v>
      </c>
      <c r="G16" s="26"/>
      <c r="H16" s="23"/>
      <c r="I16" s="35" t="s">
        <v>19</v>
      </c>
      <c r="J16" s="35" t="s">
        <v>19</v>
      </c>
      <c r="K16" s="35" t="s">
        <v>19</v>
      </c>
      <c r="L16" s="47"/>
      <c r="M16" s="35" t="str">
        <f t="shared" si="0"/>
        <v>No encaja</v>
      </c>
    </row>
    <row r="17" spans="1:13" ht="25.5" customHeight="1" x14ac:dyDescent="0.25">
      <c r="A17" s="22">
        <v>2</v>
      </c>
      <c r="B17" s="23" t="s">
        <v>44</v>
      </c>
      <c r="C17" s="23" t="s">
        <v>24</v>
      </c>
      <c r="D17" s="27" t="s">
        <v>19</v>
      </c>
      <c r="E17" s="28" t="s">
        <v>19</v>
      </c>
      <c r="F17" s="29" t="s">
        <v>25</v>
      </c>
      <c r="G17" s="26"/>
      <c r="H17" s="23"/>
      <c r="I17" s="35" t="s">
        <v>19</v>
      </c>
      <c r="J17" s="35" t="s">
        <v>19</v>
      </c>
      <c r="K17" s="35" t="s">
        <v>19</v>
      </c>
      <c r="L17" s="47"/>
      <c r="M17" s="35" t="str">
        <f t="shared" si="0"/>
        <v>No encaja</v>
      </c>
    </row>
    <row r="18" spans="1:13" ht="25.5" customHeight="1" x14ac:dyDescent="0.25">
      <c r="A18" s="22">
        <v>2</v>
      </c>
      <c r="B18" s="23" t="s">
        <v>45</v>
      </c>
      <c r="C18" s="23" t="s">
        <v>24</v>
      </c>
      <c r="D18" s="27" t="s">
        <v>19</v>
      </c>
      <c r="E18" s="28" t="s">
        <v>19</v>
      </c>
      <c r="F18" s="29" t="s">
        <v>25</v>
      </c>
      <c r="G18" s="26"/>
      <c r="H18" s="23"/>
      <c r="I18" s="35" t="s">
        <v>19</v>
      </c>
      <c r="J18" s="35" t="s">
        <v>19</v>
      </c>
      <c r="K18" s="35" t="s">
        <v>19</v>
      </c>
      <c r="L18" s="47"/>
      <c r="M18" s="35" t="str">
        <f t="shared" si="0"/>
        <v>No encaja</v>
      </c>
    </row>
    <row r="19" spans="1:13" ht="25.5" customHeight="1" x14ac:dyDescent="0.25">
      <c r="A19" s="22">
        <v>2</v>
      </c>
      <c r="B19" s="23" t="s">
        <v>46</v>
      </c>
      <c r="C19" s="23" t="s">
        <v>24</v>
      </c>
      <c r="D19" s="27" t="s">
        <v>19</v>
      </c>
      <c r="E19" s="28" t="s">
        <v>19</v>
      </c>
      <c r="F19" s="29" t="s">
        <v>25</v>
      </c>
      <c r="G19" s="26"/>
      <c r="H19" s="23"/>
      <c r="I19" s="35" t="s">
        <v>19</v>
      </c>
      <c r="J19" s="35" t="s">
        <v>19</v>
      </c>
      <c r="K19" s="35" t="s">
        <v>19</v>
      </c>
      <c r="L19" s="47"/>
      <c r="M19" s="35" t="str">
        <f t="shared" si="0"/>
        <v>No encaja</v>
      </c>
    </row>
    <row r="20" spans="1:13" ht="25.5" customHeight="1" x14ac:dyDescent="0.25">
      <c r="A20" s="22">
        <v>2</v>
      </c>
      <c r="B20" s="23" t="s">
        <v>47</v>
      </c>
      <c r="C20" s="23" t="s">
        <v>24</v>
      </c>
      <c r="D20" s="27" t="s">
        <v>19</v>
      </c>
      <c r="E20" s="28" t="s">
        <v>19</v>
      </c>
      <c r="F20" s="29" t="s">
        <v>25</v>
      </c>
      <c r="G20" s="26"/>
      <c r="H20" s="23"/>
      <c r="I20" s="35" t="s">
        <v>19</v>
      </c>
      <c r="J20" s="35" t="s">
        <v>19</v>
      </c>
      <c r="K20" s="35" t="s">
        <v>19</v>
      </c>
      <c r="L20" s="47"/>
      <c r="M20" s="35" t="str">
        <f t="shared" si="0"/>
        <v>No encaja</v>
      </c>
    </row>
    <row r="21" spans="1:13" x14ac:dyDescent="0.25">
      <c r="A21" s="22">
        <v>3</v>
      </c>
      <c r="B21" s="23" t="s">
        <v>48</v>
      </c>
      <c r="C21" s="23" t="s">
        <v>49</v>
      </c>
      <c r="D21" s="27" t="s">
        <v>19</v>
      </c>
      <c r="E21" s="28" t="s">
        <v>19</v>
      </c>
      <c r="F21" s="29" t="s">
        <v>25</v>
      </c>
      <c r="G21" s="26"/>
      <c r="H21" s="23"/>
      <c r="I21" s="35" t="s">
        <v>19</v>
      </c>
      <c r="J21" s="35" t="s">
        <v>19</v>
      </c>
      <c r="K21" s="35" t="s">
        <v>19</v>
      </c>
      <c r="L21" s="47"/>
      <c r="M21" s="35" t="str">
        <f t="shared" si="0"/>
        <v>No encaja</v>
      </c>
    </row>
    <row r="22" spans="1:13" x14ac:dyDescent="0.25">
      <c r="A22" s="22">
        <v>3</v>
      </c>
      <c r="B22" s="23" t="s">
        <v>50</v>
      </c>
      <c r="C22" s="23" t="s">
        <v>51</v>
      </c>
      <c r="D22" s="27" t="s">
        <v>19</v>
      </c>
      <c r="E22" s="28" t="s">
        <v>19</v>
      </c>
      <c r="F22" s="29" t="s">
        <v>25</v>
      </c>
      <c r="G22" s="26"/>
      <c r="H22" s="23"/>
      <c r="I22" s="35" t="s">
        <v>19</v>
      </c>
      <c r="J22" s="35" t="s">
        <v>19</v>
      </c>
      <c r="K22" s="35" t="s">
        <v>19</v>
      </c>
      <c r="L22" s="47"/>
      <c r="M22" s="35" t="str">
        <f t="shared" si="0"/>
        <v>No encaja</v>
      </c>
    </row>
    <row r="23" spans="1:13" x14ac:dyDescent="0.25">
      <c r="A23" s="22">
        <v>3</v>
      </c>
      <c r="B23" s="23" t="s">
        <v>52</v>
      </c>
      <c r="C23" s="23" t="s">
        <v>53</v>
      </c>
      <c r="D23" s="27" t="s">
        <v>19</v>
      </c>
      <c r="E23" s="28" t="s">
        <v>19</v>
      </c>
      <c r="F23" s="29" t="s">
        <v>25</v>
      </c>
      <c r="G23" s="26"/>
      <c r="H23" s="23"/>
      <c r="I23" s="35" t="s">
        <v>19</v>
      </c>
      <c r="J23" s="35" t="s">
        <v>19</v>
      </c>
      <c r="K23" s="35" t="s">
        <v>19</v>
      </c>
      <c r="L23" s="47"/>
      <c r="M23" s="35" t="str">
        <f t="shared" si="0"/>
        <v>No encaja</v>
      </c>
    </row>
    <row r="24" spans="1:13" ht="25.5" customHeight="1" x14ac:dyDescent="0.25">
      <c r="A24" s="22">
        <v>3</v>
      </c>
      <c r="B24" s="23" t="s">
        <v>54</v>
      </c>
      <c r="C24" s="23" t="s">
        <v>24</v>
      </c>
      <c r="D24" s="27" t="s">
        <v>19</v>
      </c>
      <c r="E24" s="28" t="s">
        <v>19</v>
      </c>
      <c r="F24" s="29" t="s">
        <v>25</v>
      </c>
      <c r="G24" s="26"/>
      <c r="H24" s="23"/>
      <c r="I24" s="35" t="s">
        <v>19</v>
      </c>
      <c r="J24" s="35" t="s">
        <v>19</v>
      </c>
      <c r="K24" s="35" t="s">
        <v>19</v>
      </c>
      <c r="L24" s="47"/>
      <c r="M24" s="35" t="str">
        <f t="shared" si="0"/>
        <v>No encaja</v>
      </c>
    </row>
    <row r="25" spans="1:13" x14ac:dyDescent="0.25">
      <c r="A25" s="22">
        <v>3</v>
      </c>
      <c r="B25" s="23" t="s">
        <v>55</v>
      </c>
      <c r="C25" s="23" t="s">
        <v>56</v>
      </c>
      <c r="D25" s="27" t="s">
        <v>19</v>
      </c>
      <c r="E25" s="28" t="s">
        <v>19</v>
      </c>
      <c r="F25" s="29" t="s">
        <v>25</v>
      </c>
      <c r="G25" s="26"/>
      <c r="H25" s="23"/>
      <c r="I25" s="35" t="s">
        <v>19</v>
      </c>
      <c r="J25" s="35" t="s">
        <v>19</v>
      </c>
      <c r="K25" s="35" t="s">
        <v>19</v>
      </c>
      <c r="L25" s="47"/>
      <c r="M25" s="35" t="str">
        <f t="shared" si="0"/>
        <v>No encaja</v>
      </c>
    </row>
    <row r="26" spans="1:13" ht="25.5" customHeight="1" x14ac:dyDescent="0.25">
      <c r="A26" s="22">
        <v>3</v>
      </c>
      <c r="B26" s="23" t="s">
        <v>57</v>
      </c>
      <c r="C26" s="23" t="s">
        <v>24</v>
      </c>
      <c r="D26" s="27" t="s">
        <v>19</v>
      </c>
      <c r="E26" s="28" t="s">
        <v>19</v>
      </c>
      <c r="F26" s="29" t="s">
        <v>25</v>
      </c>
      <c r="G26" s="26"/>
      <c r="H26" s="23"/>
      <c r="I26" s="35" t="s">
        <v>19</v>
      </c>
      <c r="J26" s="35" t="s">
        <v>19</v>
      </c>
      <c r="K26" s="35" t="s">
        <v>19</v>
      </c>
      <c r="L26" s="47"/>
      <c r="M26" s="35" t="str">
        <f t="shared" si="0"/>
        <v>No encaja</v>
      </c>
    </row>
    <row r="27" spans="1:13" ht="25.5" customHeight="1" x14ac:dyDescent="0.25">
      <c r="A27" s="22">
        <v>3</v>
      </c>
      <c r="B27" s="23" t="s">
        <v>58</v>
      </c>
      <c r="C27" s="23" t="s">
        <v>59</v>
      </c>
      <c r="D27" s="27" t="s">
        <v>19</v>
      </c>
      <c r="E27" s="28" t="s">
        <v>19</v>
      </c>
      <c r="F27" s="29" t="s">
        <v>25</v>
      </c>
      <c r="G27" s="26" t="s">
        <v>60</v>
      </c>
      <c r="H27" s="23"/>
      <c r="I27" s="35" t="s">
        <v>19</v>
      </c>
      <c r="J27" s="35" t="s">
        <v>19</v>
      </c>
      <c r="K27" s="35" t="s">
        <v>19</v>
      </c>
      <c r="L27" s="47"/>
      <c r="M27" s="35" t="str">
        <f t="shared" si="0"/>
        <v>No encaja</v>
      </c>
    </row>
    <row r="28" spans="1:13" ht="25.5" customHeight="1" x14ac:dyDescent="0.25">
      <c r="A28" s="22">
        <v>3</v>
      </c>
      <c r="B28" s="23" t="s">
        <v>61</v>
      </c>
      <c r="C28" s="23" t="s">
        <v>59</v>
      </c>
      <c r="D28" s="27" t="s">
        <v>19</v>
      </c>
      <c r="E28" s="28" t="s">
        <v>19</v>
      </c>
      <c r="F28" s="29" t="s">
        <v>25</v>
      </c>
      <c r="G28" s="26" t="s">
        <v>60</v>
      </c>
      <c r="H28" s="23"/>
      <c r="I28" s="35" t="s">
        <v>19</v>
      </c>
      <c r="J28" s="35" t="s">
        <v>19</v>
      </c>
      <c r="K28" s="35" t="s">
        <v>19</v>
      </c>
      <c r="L28" s="47"/>
      <c r="M28" s="35" t="str">
        <f t="shared" si="0"/>
        <v>No encaja</v>
      </c>
    </row>
    <row r="29" spans="1:13" x14ac:dyDescent="0.25">
      <c r="A29" s="22">
        <v>4</v>
      </c>
      <c r="B29" s="23" t="s">
        <v>62</v>
      </c>
      <c r="C29" s="23" t="s">
        <v>49</v>
      </c>
      <c r="D29" s="27" t="s">
        <v>19</v>
      </c>
      <c r="E29" s="28" t="s">
        <v>19</v>
      </c>
      <c r="F29" s="29" t="s">
        <v>25</v>
      </c>
      <c r="G29" s="26"/>
      <c r="H29" s="23"/>
      <c r="I29" s="35" t="s">
        <v>19</v>
      </c>
      <c r="J29" s="35" t="s">
        <v>19</v>
      </c>
      <c r="K29" s="35" t="s">
        <v>19</v>
      </c>
      <c r="L29" s="47"/>
      <c r="M29" s="35" t="str">
        <f t="shared" si="0"/>
        <v>No encaja</v>
      </c>
    </row>
    <row r="30" spans="1:13" x14ac:dyDescent="0.25">
      <c r="A30" s="22">
        <v>4</v>
      </c>
      <c r="B30" s="23" t="s">
        <v>63</v>
      </c>
      <c r="C30" s="23" t="s">
        <v>30</v>
      </c>
      <c r="D30" s="24" t="s">
        <v>64</v>
      </c>
      <c r="E30" s="22" t="s">
        <v>65</v>
      </c>
      <c r="F30" s="25" t="s">
        <v>18</v>
      </c>
      <c r="G30" s="26"/>
      <c r="H30" s="23"/>
      <c r="I30" s="35" t="s">
        <v>19</v>
      </c>
      <c r="J30" s="35" t="s">
        <v>19</v>
      </c>
      <c r="K30" s="35" t="s">
        <v>19</v>
      </c>
      <c r="L30" s="47"/>
      <c r="M30" s="35" t="str">
        <f t="shared" si="0"/>
        <v>Encaje perfecto</v>
      </c>
    </row>
    <row r="31" spans="1:13" x14ac:dyDescent="0.25">
      <c r="A31" s="22">
        <v>4</v>
      </c>
      <c r="B31" s="23" t="s">
        <v>66</v>
      </c>
      <c r="C31" s="23" t="s">
        <v>30</v>
      </c>
      <c r="D31" s="24" t="s">
        <v>67</v>
      </c>
      <c r="E31" s="22" t="s">
        <v>65</v>
      </c>
      <c r="F31" s="25" t="s">
        <v>18</v>
      </c>
      <c r="G31" s="26"/>
      <c r="H31" s="23"/>
      <c r="I31" s="35" t="s">
        <v>19</v>
      </c>
      <c r="J31" s="35" t="s">
        <v>19</v>
      </c>
      <c r="K31" s="35" t="s">
        <v>19</v>
      </c>
      <c r="L31" s="47"/>
      <c r="M31" s="35" t="str">
        <f t="shared" si="0"/>
        <v>Encaje perfecto</v>
      </c>
    </row>
    <row r="32" spans="1:13" ht="25.5" customHeight="1" x14ac:dyDescent="0.25">
      <c r="A32" s="22">
        <v>4</v>
      </c>
      <c r="B32" s="23" t="s">
        <v>68</v>
      </c>
      <c r="C32" s="23" t="s">
        <v>24</v>
      </c>
      <c r="D32" s="27" t="s">
        <v>19</v>
      </c>
      <c r="E32" s="28" t="s">
        <v>19</v>
      </c>
      <c r="F32" s="29" t="s">
        <v>25</v>
      </c>
      <c r="G32" s="26"/>
      <c r="H32" s="23"/>
      <c r="I32" s="35" t="s">
        <v>19</v>
      </c>
      <c r="J32" s="35" t="s">
        <v>19</v>
      </c>
      <c r="K32" s="35" t="s">
        <v>19</v>
      </c>
      <c r="L32" s="47"/>
      <c r="M32" s="35" t="str">
        <f t="shared" si="0"/>
        <v>No encaja</v>
      </c>
    </row>
    <row r="33" spans="1:13" x14ac:dyDescent="0.25">
      <c r="A33" s="22">
        <v>4</v>
      </c>
      <c r="B33" s="23" t="s">
        <v>69</v>
      </c>
      <c r="C33" s="23" t="s">
        <v>56</v>
      </c>
      <c r="D33" s="27" t="s">
        <v>19</v>
      </c>
      <c r="E33" s="28" t="s">
        <v>19</v>
      </c>
      <c r="F33" s="29" t="s">
        <v>25</v>
      </c>
      <c r="G33" s="26"/>
      <c r="H33" s="23"/>
      <c r="I33" s="35" t="s">
        <v>19</v>
      </c>
      <c r="J33" s="35" t="s">
        <v>19</v>
      </c>
      <c r="K33" s="35" t="s">
        <v>19</v>
      </c>
      <c r="L33" s="47"/>
      <c r="M33" s="35" t="str">
        <f t="shared" si="0"/>
        <v>No encaja</v>
      </c>
    </row>
    <row r="34" spans="1:13" ht="25.5" customHeight="1" x14ac:dyDescent="0.25">
      <c r="A34" s="22">
        <v>4</v>
      </c>
      <c r="B34" s="23" t="s">
        <v>70</v>
      </c>
      <c r="C34" s="23" t="s">
        <v>24</v>
      </c>
      <c r="D34" s="27" t="s">
        <v>19</v>
      </c>
      <c r="E34" s="28" t="s">
        <v>19</v>
      </c>
      <c r="F34" s="29" t="s">
        <v>25</v>
      </c>
      <c r="G34" s="26"/>
      <c r="H34" s="23"/>
      <c r="I34" s="35" t="s">
        <v>19</v>
      </c>
      <c r="J34" s="35" t="s">
        <v>19</v>
      </c>
      <c r="K34" s="35" t="s">
        <v>19</v>
      </c>
      <c r="L34" s="47"/>
      <c r="M34" s="35" t="str">
        <f t="shared" si="0"/>
        <v>No encaja</v>
      </c>
    </row>
    <row r="35" spans="1:13" ht="25.5" customHeight="1" x14ac:dyDescent="0.25">
      <c r="A35" s="22">
        <v>4</v>
      </c>
      <c r="B35" s="23" t="s">
        <v>71</v>
      </c>
      <c r="C35" s="23" t="s">
        <v>59</v>
      </c>
      <c r="D35" s="27" t="s">
        <v>19</v>
      </c>
      <c r="E35" s="28" t="s">
        <v>19</v>
      </c>
      <c r="F35" s="29" t="s">
        <v>25</v>
      </c>
      <c r="G35" s="26" t="s">
        <v>60</v>
      </c>
      <c r="H35" s="23"/>
      <c r="I35" s="35" t="s">
        <v>19</v>
      </c>
      <c r="J35" s="35" t="s">
        <v>19</v>
      </c>
      <c r="K35" s="35" t="s">
        <v>19</v>
      </c>
      <c r="L35" s="47"/>
      <c r="M35" s="35" t="str">
        <f t="shared" ref="M35:M66" si="1">IF(OR(F35="Encaje perfecto",K35="Encaje perfecto"),"Encaje perfecto",IF(OR(F35="Encaje parcial",K35="Encaje parcial"),"Encaje parcial","No encaja"))</f>
        <v>No encaja</v>
      </c>
    </row>
    <row r="36" spans="1:13" x14ac:dyDescent="0.25">
      <c r="A36" s="22">
        <v>5</v>
      </c>
      <c r="B36" s="23" t="s">
        <v>72</v>
      </c>
      <c r="C36" s="23" t="s">
        <v>49</v>
      </c>
      <c r="D36" s="27" t="s">
        <v>19</v>
      </c>
      <c r="E36" s="28" t="s">
        <v>19</v>
      </c>
      <c r="F36" s="29" t="s">
        <v>25</v>
      </c>
      <c r="G36" s="26"/>
      <c r="H36" s="23"/>
      <c r="I36" s="35" t="s">
        <v>19</v>
      </c>
      <c r="J36" s="35" t="s">
        <v>19</v>
      </c>
      <c r="K36" s="35" t="s">
        <v>19</v>
      </c>
      <c r="L36" s="47"/>
      <c r="M36" s="35" t="str">
        <f t="shared" si="1"/>
        <v>No encaja</v>
      </c>
    </row>
    <row r="37" spans="1:13" x14ac:dyDescent="0.25">
      <c r="A37" s="22">
        <v>5</v>
      </c>
      <c r="B37" s="23" t="s">
        <v>73</v>
      </c>
      <c r="C37" s="23" t="s">
        <v>27</v>
      </c>
      <c r="D37" s="24" t="s">
        <v>74</v>
      </c>
      <c r="E37" s="22" t="s">
        <v>65</v>
      </c>
      <c r="F37" s="25" t="s">
        <v>18</v>
      </c>
      <c r="G37" s="26"/>
      <c r="H37" s="23"/>
      <c r="I37" s="35" t="s">
        <v>19</v>
      </c>
      <c r="J37" s="35" t="s">
        <v>19</v>
      </c>
      <c r="K37" s="35" t="s">
        <v>19</v>
      </c>
      <c r="L37" s="47"/>
      <c r="M37" s="35" t="str">
        <f t="shared" si="1"/>
        <v>Encaje perfecto</v>
      </c>
    </row>
    <row r="38" spans="1:13" x14ac:dyDescent="0.25">
      <c r="A38" s="22">
        <v>5</v>
      </c>
      <c r="B38" s="23" t="s">
        <v>75</v>
      </c>
      <c r="C38" s="23" t="s">
        <v>76</v>
      </c>
      <c r="D38" s="27" t="s">
        <v>19</v>
      </c>
      <c r="E38" s="28" t="s">
        <v>19</v>
      </c>
      <c r="F38" s="29" t="s">
        <v>25</v>
      </c>
      <c r="G38" s="26"/>
      <c r="H38" s="23"/>
      <c r="I38" s="35" t="s">
        <v>19</v>
      </c>
      <c r="J38" s="35" t="s">
        <v>19</v>
      </c>
      <c r="K38" s="35" t="s">
        <v>19</v>
      </c>
      <c r="L38" s="47"/>
      <c r="M38" s="35" t="str">
        <f t="shared" si="1"/>
        <v>No encaja</v>
      </c>
    </row>
    <row r="39" spans="1:13" x14ac:dyDescent="0.25">
      <c r="A39" s="22">
        <v>5</v>
      </c>
      <c r="B39" s="23" t="s">
        <v>77</v>
      </c>
      <c r="C39" s="23" t="s">
        <v>33</v>
      </c>
      <c r="D39" s="24" t="s">
        <v>78</v>
      </c>
      <c r="E39" s="22" t="s">
        <v>79</v>
      </c>
      <c r="F39" s="25" t="s">
        <v>18</v>
      </c>
      <c r="G39" s="26"/>
      <c r="H39" s="23"/>
      <c r="I39" s="35" t="s">
        <v>19</v>
      </c>
      <c r="J39" s="35" t="s">
        <v>19</v>
      </c>
      <c r="K39" s="35" t="s">
        <v>19</v>
      </c>
      <c r="L39" s="47"/>
      <c r="M39" s="35" t="str">
        <f t="shared" si="1"/>
        <v>Encaje perfecto</v>
      </c>
    </row>
    <row r="40" spans="1:13" ht="25.5" customHeight="1" x14ac:dyDescent="0.25">
      <c r="A40" s="22">
        <v>5</v>
      </c>
      <c r="B40" s="23" t="s">
        <v>80</v>
      </c>
      <c r="C40" s="23" t="s">
        <v>81</v>
      </c>
      <c r="D40" s="27" t="s">
        <v>19</v>
      </c>
      <c r="E40" s="28" t="s">
        <v>19</v>
      </c>
      <c r="F40" s="29" t="s">
        <v>25</v>
      </c>
      <c r="G40" s="26" t="s">
        <v>82</v>
      </c>
      <c r="H40" s="23"/>
      <c r="I40" s="45" t="s">
        <v>83</v>
      </c>
      <c r="J40" s="35" t="s">
        <v>84</v>
      </c>
      <c r="K40" s="48" t="s">
        <v>85</v>
      </c>
      <c r="L40" s="47" t="s">
        <v>86</v>
      </c>
      <c r="M40" s="35" t="str">
        <f t="shared" si="1"/>
        <v>Encaje parcial</v>
      </c>
    </row>
    <row r="41" spans="1:13" ht="25.5" customHeight="1" x14ac:dyDescent="0.25">
      <c r="A41" s="22">
        <v>5</v>
      </c>
      <c r="B41" s="23" t="s">
        <v>87</v>
      </c>
      <c r="C41" s="23" t="s">
        <v>24</v>
      </c>
      <c r="D41" s="27" t="s">
        <v>19</v>
      </c>
      <c r="E41" s="28" t="s">
        <v>19</v>
      </c>
      <c r="F41" s="29" t="s">
        <v>25</v>
      </c>
      <c r="G41" s="26"/>
      <c r="H41" s="23"/>
      <c r="I41" s="35" t="s">
        <v>19</v>
      </c>
      <c r="J41" s="35" t="s">
        <v>19</v>
      </c>
      <c r="K41" s="35" t="s">
        <v>19</v>
      </c>
      <c r="L41" s="47"/>
      <c r="M41" s="35" t="str">
        <f t="shared" si="1"/>
        <v>No encaja</v>
      </c>
    </row>
    <row r="42" spans="1:13" x14ac:dyDescent="0.25">
      <c r="A42" s="22">
        <v>5</v>
      </c>
      <c r="B42" s="23" t="s">
        <v>88</v>
      </c>
      <c r="C42" s="23" t="s">
        <v>56</v>
      </c>
      <c r="D42" s="27" t="s">
        <v>19</v>
      </c>
      <c r="E42" s="28" t="s">
        <v>19</v>
      </c>
      <c r="F42" s="29" t="s">
        <v>25</v>
      </c>
      <c r="G42" s="26"/>
      <c r="H42" s="23"/>
      <c r="I42" s="35" t="s">
        <v>19</v>
      </c>
      <c r="J42" s="35" t="s">
        <v>19</v>
      </c>
      <c r="K42" s="35" t="s">
        <v>19</v>
      </c>
      <c r="L42" s="47"/>
      <c r="M42" s="35" t="str">
        <f t="shared" si="1"/>
        <v>No encaja</v>
      </c>
    </row>
    <row r="43" spans="1:13" x14ac:dyDescent="0.25">
      <c r="A43" s="22">
        <v>5</v>
      </c>
      <c r="B43" s="23" t="s">
        <v>89</v>
      </c>
      <c r="C43" s="23" t="s">
        <v>90</v>
      </c>
      <c r="D43" s="24" t="s">
        <v>91</v>
      </c>
      <c r="E43" s="22" t="s">
        <v>65</v>
      </c>
      <c r="F43" s="30" t="s">
        <v>85</v>
      </c>
      <c r="G43" s="26"/>
      <c r="H43" s="23"/>
      <c r="I43" s="35" t="s">
        <v>19</v>
      </c>
      <c r="J43" s="35" t="s">
        <v>19</v>
      </c>
      <c r="K43" s="35" t="s">
        <v>19</v>
      </c>
      <c r="L43" s="47"/>
      <c r="M43" s="35" t="str">
        <f t="shared" si="1"/>
        <v>Encaje parcial</v>
      </c>
    </row>
    <row r="44" spans="1:13" ht="25.5" customHeight="1" x14ac:dyDescent="0.25">
      <c r="A44" s="22">
        <v>5</v>
      </c>
      <c r="B44" s="23" t="s">
        <v>92</v>
      </c>
      <c r="C44" s="23" t="s">
        <v>59</v>
      </c>
      <c r="D44" s="27" t="s">
        <v>19</v>
      </c>
      <c r="E44" s="28" t="s">
        <v>19</v>
      </c>
      <c r="F44" s="29" t="s">
        <v>25</v>
      </c>
      <c r="G44" s="26" t="s">
        <v>60</v>
      </c>
      <c r="H44" s="23"/>
      <c r="I44" s="35" t="s">
        <v>19</v>
      </c>
      <c r="J44" s="35" t="s">
        <v>19</v>
      </c>
      <c r="K44" s="35" t="s">
        <v>19</v>
      </c>
      <c r="L44" s="47"/>
      <c r="M44" s="35" t="str">
        <f t="shared" si="1"/>
        <v>No encaja</v>
      </c>
    </row>
    <row r="45" spans="1:13" x14ac:dyDescent="0.25">
      <c r="A45" s="22">
        <v>6</v>
      </c>
      <c r="B45" s="23" t="s">
        <v>93</v>
      </c>
      <c r="C45" s="23" t="s">
        <v>49</v>
      </c>
      <c r="D45" s="27" t="s">
        <v>19</v>
      </c>
      <c r="E45" s="28" t="s">
        <v>19</v>
      </c>
      <c r="F45" s="29" t="s">
        <v>25</v>
      </c>
      <c r="G45" s="26"/>
      <c r="H45" s="23"/>
      <c r="I45" s="35" t="s">
        <v>19</v>
      </c>
      <c r="J45" s="35" t="s">
        <v>19</v>
      </c>
      <c r="K45" s="35" t="s">
        <v>19</v>
      </c>
      <c r="L45" s="47"/>
      <c r="M45" s="35" t="str">
        <f t="shared" si="1"/>
        <v>No encaja</v>
      </c>
    </row>
    <row r="46" spans="1:13" ht="38.25" x14ac:dyDescent="0.25">
      <c r="A46" s="22">
        <v>6</v>
      </c>
      <c r="B46" s="23" t="s">
        <v>94</v>
      </c>
      <c r="C46" s="23" t="s">
        <v>95</v>
      </c>
      <c r="D46" s="27" t="s">
        <v>19</v>
      </c>
      <c r="E46" s="28" t="s">
        <v>19</v>
      </c>
      <c r="F46" s="29" t="s">
        <v>25</v>
      </c>
      <c r="G46" s="26"/>
      <c r="H46" s="23"/>
      <c r="I46" s="45" t="s">
        <v>96</v>
      </c>
      <c r="J46" s="35" t="s">
        <v>97</v>
      </c>
      <c r="K46" s="48" t="s">
        <v>85</v>
      </c>
      <c r="L46" s="47" t="s">
        <v>98</v>
      </c>
      <c r="M46" s="35" t="str">
        <f t="shared" si="1"/>
        <v>Encaje parcial</v>
      </c>
    </row>
    <row r="47" spans="1:13" x14ac:dyDescent="0.25">
      <c r="A47" s="22">
        <v>6</v>
      </c>
      <c r="B47" s="23" t="s">
        <v>99</v>
      </c>
      <c r="C47" s="23" t="s">
        <v>100</v>
      </c>
      <c r="D47" s="27" t="s">
        <v>19</v>
      </c>
      <c r="E47" s="28" t="s">
        <v>19</v>
      </c>
      <c r="F47" s="29" t="s">
        <v>25</v>
      </c>
      <c r="G47" s="26"/>
      <c r="H47" s="23"/>
      <c r="I47" s="35" t="s">
        <v>19</v>
      </c>
      <c r="J47" s="35" t="s">
        <v>19</v>
      </c>
      <c r="K47" s="35" t="s">
        <v>19</v>
      </c>
      <c r="L47" s="47"/>
      <c r="M47" s="35" t="str">
        <f t="shared" si="1"/>
        <v>No encaja</v>
      </c>
    </row>
    <row r="48" spans="1:13" ht="38.25" x14ac:dyDescent="0.25">
      <c r="A48" s="22">
        <v>6</v>
      </c>
      <c r="B48" s="23" t="s">
        <v>101</v>
      </c>
      <c r="C48" s="23" t="s">
        <v>30</v>
      </c>
      <c r="D48" s="27" t="s">
        <v>19</v>
      </c>
      <c r="E48" s="28" t="s">
        <v>19</v>
      </c>
      <c r="F48" s="29" t="s">
        <v>25</v>
      </c>
      <c r="G48" s="26"/>
      <c r="H48" s="23"/>
      <c r="I48" s="45" t="s">
        <v>102</v>
      </c>
      <c r="J48" s="35" t="s">
        <v>103</v>
      </c>
      <c r="K48" s="48" t="s">
        <v>85</v>
      </c>
      <c r="L48" s="47" t="s">
        <v>104</v>
      </c>
      <c r="M48" s="35" t="str">
        <f t="shared" si="1"/>
        <v>Encaje parcial</v>
      </c>
    </row>
    <row r="49" spans="1:13" x14ac:dyDescent="0.25">
      <c r="A49" s="22">
        <v>6</v>
      </c>
      <c r="B49" s="23" t="s">
        <v>105</v>
      </c>
      <c r="C49" s="23" t="s">
        <v>27</v>
      </c>
      <c r="D49" s="24" t="s">
        <v>106</v>
      </c>
      <c r="E49" s="22" t="s">
        <v>79</v>
      </c>
      <c r="F49" s="30" t="s">
        <v>85</v>
      </c>
      <c r="G49" s="26"/>
      <c r="H49" s="23"/>
      <c r="I49" s="35" t="s">
        <v>19</v>
      </c>
      <c r="J49" s="35" t="s">
        <v>19</v>
      </c>
      <c r="K49" s="35" t="s">
        <v>19</v>
      </c>
      <c r="L49" s="47"/>
      <c r="M49" s="35" t="str">
        <f t="shared" si="1"/>
        <v>Encaje parcial</v>
      </c>
    </row>
    <row r="50" spans="1:13" x14ac:dyDescent="0.25">
      <c r="A50" s="22">
        <v>6</v>
      </c>
      <c r="B50" s="23" t="s">
        <v>107</v>
      </c>
      <c r="C50" s="23" t="s">
        <v>108</v>
      </c>
      <c r="D50" s="24" t="s">
        <v>109</v>
      </c>
      <c r="E50" s="22" t="s">
        <v>110</v>
      </c>
      <c r="F50" s="25" t="s">
        <v>18</v>
      </c>
      <c r="G50" s="26"/>
      <c r="H50" s="23"/>
      <c r="I50" s="35" t="s">
        <v>19</v>
      </c>
      <c r="J50" s="35" t="s">
        <v>19</v>
      </c>
      <c r="K50" s="35" t="s">
        <v>19</v>
      </c>
      <c r="L50" s="47"/>
      <c r="M50" s="35" t="str">
        <f t="shared" si="1"/>
        <v>Encaje perfecto</v>
      </c>
    </row>
    <row r="51" spans="1:13" x14ac:dyDescent="0.25">
      <c r="A51" s="22">
        <v>6</v>
      </c>
      <c r="B51" s="23" t="s">
        <v>111</v>
      </c>
      <c r="C51" s="23" t="s">
        <v>56</v>
      </c>
      <c r="D51" s="27" t="s">
        <v>19</v>
      </c>
      <c r="E51" s="28" t="s">
        <v>19</v>
      </c>
      <c r="F51" s="29" t="s">
        <v>25</v>
      </c>
      <c r="G51" s="26"/>
      <c r="H51" s="23"/>
      <c r="I51" s="35" t="s">
        <v>19</v>
      </c>
      <c r="J51" s="35" t="s">
        <v>19</v>
      </c>
      <c r="K51" s="35" t="s">
        <v>19</v>
      </c>
      <c r="L51" s="47"/>
      <c r="M51" s="35" t="str">
        <f t="shared" si="1"/>
        <v>No encaja</v>
      </c>
    </row>
    <row r="52" spans="1:13" ht="25.5" customHeight="1" x14ac:dyDescent="0.25">
      <c r="A52" s="22">
        <v>6</v>
      </c>
      <c r="B52" s="23" t="s">
        <v>112</v>
      </c>
      <c r="C52" s="23" t="s">
        <v>24</v>
      </c>
      <c r="D52" s="27" t="s">
        <v>19</v>
      </c>
      <c r="E52" s="28" t="s">
        <v>19</v>
      </c>
      <c r="F52" s="29" t="s">
        <v>25</v>
      </c>
      <c r="G52" s="26"/>
      <c r="H52" s="23"/>
      <c r="I52" s="35" t="s">
        <v>19</v>
      </c>
      <c r="J52" s="35" t="s">
        <v>19</v>
      </c>
      <c r="K52" s="35" t="s">
        <v>19</v>
      </c>
      <c r="L52" s="47"/>
      <c r="M52" s="35" t="str">
        <f t="shared" si="1"/>
        <v>No encaja</v>
      </c>
    </row>
    <row r="53" spans="1:13" ht="25.5" customHeight="1" x14ac:dyDescent="0.25">
      <c r="A53" s="22">
        <v>6</v>
      </c>
      <c r="B53" s="23" t="s">
        <v>113</v>
      </c>
      <c r="C53" s="23" t="s">
        <v>24</v>
      </c>
      <c r="D53" s="27" t="s">
        <v>19</v>
      </c>
      <c r="E53" s="28" t="s">
        <v>19</v>
      </c>
      <c r="F53" s="29" t="s">
        <v>25</v>
      </c>
      <c r="G53" s="26"/>
      <c r="H53" s="23"/>
      <c r="I53" s="35" t="s">
        <v>19</v>
      </c>
      <c r="J53" s="35" t="s">
        <v>19</v>
      </c>
      <c r="K53" s="35" t="s">
        <v>19</v>
      </c>
      <c r="L53" s="47"/>
      <c r="M53" s="35" t="str">
        <f t="shared" si="1"/>
        <v>No encaja</v>
      </c>
    </row>
    <row r="54" spans="1:13" ht="25.5" customHeight="1" x14ac:dyDescent="0.25">
      <c r="A54" s="22">
        <v>6</v>
      </c>
      <c r="B54" s="23" t="s">
        <v>114</v>
      </c>
      <c r="C54" s="23" t="s">
        <v>59</v>
      </c>
      <c r="D54" s="27" t="s">
        <v>19</v>
      </c>
      <c r="E54" s="28" t="s">
        <v>19</v>
      </c>
      <c r="F54" s="29" t="s">
        <v>25</v>
      </c>
      <c r="G54" s="26" t="s">
        <v>60</v>
      </c>
      <c r="H54" s="23"/>
      <c r="I54" s="35" t="s">
        <v>19</v>
      </c>
      <c r="J54" s="35" t="s">
        <v>19</v>
      </c>
      <c r="K54" s="35" t="s">
        <v>19</v>
      </c>
      <c r="L54" s="47"/>
      <c r="M54" s="35" t="str">
        <f t="shared" si="1"/>
        <v>No encaja</v>
      </c>
    </row>
    <row r="55" spans="1:13" ht="25.5" customHeight="1" x14ac:dyDescent="0.25">
      <c r="A55" s="22">
        <v>7</v>
      </c>
      <c r="B55" s="23" t="s">
        <v>115</v>
      </c>
      <c r="C55" s="23" t="s">
        <v>24</v>
      </c>
      <c r="D55" s="27" t="s">
        <v>19</v>
      </c>
      <c r="E55" s="28" t="s">
        <v>19</v>
      </c>
      <c r="F55" s="29" t="s">
        <v>25</v>
      </c>
      <c r="G55" s="26"/>
      <c r="H55" s="23"/>
      <c r="I55" s="35" t="s">
        <v>19</v>
      </c>
      <c r="J55" s="35" t="s">
        <v>19</v>
      </c>
      <c r="K55" s="35" t="s">
        <v>19</v>
      </c>
      <c r="L55" s="47"/>
      <c r="M55" s="35" t="str">
        <f t="shared" si="1"/>
        <v>No encaja</v>
      </c>
    </row>
    <row r="56" spans="1:13" ht="25.5" customHeight="1" x14ac:dyDescent="0.25">
      <c r="A56" s="22">
        <v>7</v>
      </c>
      <c r="B56" s="23" t="s">
        <v>116</v>
      </c>
      <c r="C56" s="23" t="s">
        <v>24</v>
      </c>
      <c r="D56" s="27" t="s">
        <v>19</v>
      </c>
      <c r="E56" s="28" t="s">
        <v>19</v>
      </c>
      <c r="F56" s="29" t="s">
        <v>25</v>
      </c>
      <c r="G56" s="26"/>
      <c r="H56" s="23"/>
      <c r="I56" s="35" t="s">
        <v>19</v>
      </c>
      <c r="J56" s="35" t="s">
        <v>19</v>
      </c>
      <c r="K56" s="35" t="s">
        <v>19</v>
      </c>
      <c r="L56" s="47"/>
      <c r="M56" s="35" t="str">
        <f t="shared" si="1"/>
        <v>No encaja</v>
      </c>
    </row>
    <row r="57" spans="1:13" ht="25.5" customHeight="1" x14ac:dyDescent="0.25">
      <c r="A57" s="22">
        <v>7</v>
      </c>
      <c r="B57" s="23" t="s">
        <v>117</v>
      </c>
      <c r="C57" s="23" t="s">
        <v>24</v>
      </c>
      <c r="D57" s="27" t="s">
        <v>19</v>
      </c>
      <c r="E57" s="28" t="s">
        <v>19</v>
      </c>
      <c r="F57" s="29" t="s">
        <v>25</v>
      </c>
      <c r="G57" s="26"/>
      <c r="H57" s="23"/>
      <c r="I57" s="35" t="s">
        <v>19</v>
      </c>
      <c r="J57" s="35" t="s">
        <v>19</v>
      </c>
      <c r="K57" s="35" t="s">
        <v>19</v>
      </c>
      <c r="L57" s="47"/>
      <c r="M57" s="35" t="str">
        <f t="shared" si="1"/>
        <v>No encaja</v>
      </c>
    </row>
    <row r="58" spans="1:13" ht="25.5" customHeight="1" x14ac:dyDescent="0.25">
      <c r="A58" s="22">
        <v>8</v>
      </c>
      <c r="B58" s="23" t="s">
        <v>118</v>
      </c>
      <c r="C58" s="23" t="s">
        <v>119</v>
      </c>
      <c r="D58" s="27" t="s">
        <v>19</v>
      </c>
      <c r="E58" s="28" t="s">
        <v>19</v>
      </c>
      <c r="F58" s="29" t="s">
        <v>25</v>
      </c>
      <c r="G58" s="26" t="s">
        <v>120</v>
      </c>
      <c r="H58" s="23"/>
      <c r="I58" s="35" t="s">
        <v>19</v>
      </c>
      <c r="J58" s="35" t="s">
        <v>19</v>
      </c>
      <c r="K58" s="35" t="s">
        <v>19</v>
      </c>
      <c r="L58" s="47"/>
      <c r="M58" s="35" t="str">
        <f t="shared" si="1"/>
        <v>No encaja</v>
      </c>
    </row>
    <row r="59" spans="1:13" ht="25.5" customHeight="1" x14ac:dyDescent="0.25">
      <c r="A59" s="22">
        <v>8</v>
      </c>
      <c r="B59" s="23" t="s">
        <v>121</v>
      </c>
      <c r="C59" s="23" t="s">
        <v>119</v>
      </c>
      <c r="D59" s="27" t="s">
        <v>19</v>
      </c>
      <c r="E59" s="28" t="s">
        <v>19</v>
      </c>
      <c r="F59" s="29" t="s">
        <v>25</v>
      </c>
      <c r="G59" s="26" t="s">
        <v>120</v>
      </c>
      <c r="H59" s="23"/>
      <c r="I59" s="35" t="s">
        <v>19</v>
      </c>
      <c r="J59" s="35" t="s">
        <v>19</v>
      </c>
      <c r="K59" s="35" t="s">
        <v>19</v>
      </c>
      <c r="L59" s="47"/>
      <c r="M59" s="35" t="str">
        <f t="shared" si="1"/>
        <v>No encaja</v>
      </c>
    </row>
    <row r="60" spans="1:13" ht="25.5" customHeight="1" x14ac:dyDescent="0.25">
      <c r="A60" s="22">
        <v>8</v>
      </c>
      <c r="B60" s="23" t="s">
        <v>122</v>
      </c>
      <c r="C60" s="23" t="s">
        <v>119</v>
      </c>
      <c r="D60" s="27" t="s">
        <v>19</v>
      </c>
      <c r="E60" s="28" t="s">
        <v>19</v>
      </c>
      <c r="F60" s="29" t="s">
        <v>25</v>
      </c>
      <c r="G60" s="26" t="s">
        <v>120</v>
      </c>
      <c r="H60" s="23"/>
      <c r="I60" s="35" t="s">
        <v>19</v>
      </c>
      <c r="J60" s="35" t="s">
        <v>19</v>
      </c>
      <c r="K60" s="35" t="s">
        <v>19</v>
      </c>
      <c r="L60" s="47"/>
      <c r="M60" s="35" t="str">
        <f t="shared" si="1"/>
        <v>No encaja</v>
      </c>
    </row>
    <row r="61" spans="1:13" ht="25.5" customHeight="1" x14ac:dyDescent="0.25">
      <c r="A61" s="22">
        <v>8</v>
      </c>
      <c r="B61" s="23" t="s">
        <v>123</v>
      </c>
      <c r="C61" s="23" t="s">
        <v>119</v>
      </c>
      <c r="D61" s="27" t="s">
        <v>19</v>
      </c>
      <c r="E61" s="28" t="s">
        <v>19</v>
      </c>
      <c r="F61" s="29" t="s">
        <v>25</v>
      </c>
      <c r="G61" s="26" t="s">
        <v>120</v>
      </c>
      <c r="H61" s="23"/>
      <c r="I61" s="35" t="s">
        <v>19</v>
      </c>
      <c r="J61" s="35" t="s">
        <v>19</v>
      </c>
      <c r="K61" s="35" t="s">
        <v>19</v>
      </c>
      <c r="L61" s="47"/>
      <c r="M61" s="35" t="str">
        <f t="shared" si="1"/>
        <v>No encaja</v>
      </c>
    </row>
    <row r="62" spans="1:13" ht="25.5" customHeight="1" x14ac:dyDescent="0.25">
      <c r="A62" s="22">
        <v>8</v>
      </c>
      <c r="B62" s="23" t="s">
        <v>124</v>
      </c>
      <c r="C62" s="23" t="s">
        <v>119</v>
      </c>
      <c r="D62" s="27" t="s">
        <v>19</v>
      </c>
      <c r="E62" s="28" t="s">
        <v>19</v>
      </c>
      <c r="F62" s="29" t="s">
        <v>25</v>
      </c>
      <c r="G62" s="26" t="s">
        <v>120</v>
      </c>
      <c r="H62" s="23"/>
      <c r="I62" s="35" t="s">
        <v>19</v>
      </c>
      <c r="J62" s="35" t="s">
        <v>19</v>
      </c>
      <c r="K62" s="35" t="s">
        <v>19</v>
      </c>
      <c r="L62" s="47"/>
      <c r="M62" s="35" t="str">
        <f t="shared" si="1"/>
        <v>No encaja</v>
      </c>
    </row>
    <row r="63" spans="1:13" ht="25.5" customHeight="1" x14ac:dyDescent="0.25">
      <c r="A63" s="22">
        <v>8</v>
      </c>
      <c r="B63" s="23" t="s">
        <v>125</v>
      </c>
      <c r="C63" s="23" t="s">
        <v>119</v>
      </c>
      <c r="D63" s="27" t="s">
        <v>19</v>
      </c>
      <c r="E63" s="28" t="s">
        <v>19</v>
      </c>
      <c r="F63" s="29" t="s">
        <v>25</v>
      </c>
      <c r="G63" s="26" t="s">
        <v>120</v>
      </c>
      <c r="H63" s="23"/>
      <c r="I63" s="35" t="s">
        <v>19</v>
      </c>
      <c r="J63" s="35" t="s">
        <v>19</v>
      </c>
      <c r="K63" s="35" t="s">
        <v>19</v>
      </c>
      <c r="L63" s="47"/>
      <c r="M63" s="35" t="str">
        <f t="shared" si="1"/>
        <v>No encaja</v>
      </c>
    </row>
    <row r="64" spans="1:13" ht="25.5" customHeight="1" x14ac:dyDescent="0.25">
      <c r="A64" s="22">
        <v>8</v>
      </c>
      <c r="B64" s="23" t="s">
        <v>126</v>
      </c>
      <c r="C64" s="23" t="s">
        <v>119</v>
      </c>
      <c r="D64" s="27" t="s">
        <v>19</v>
      </c>
      <c r="E64" s="28" t="s">
        <v>19</v>
      </c>
      <c r="F64" s="29" t="s">
        <v>25</v>
      </c>
      <c r="G64" s="26" t="s">
        <v>120</v>
      </c>
      <c r="H64" s="23"/>
      <c r="I64" s="35" t="s">
        <v>19</v>
      </c>
      <c r="J64" s="35" t="s">
        <v>19</v>
      </c>
      <c r="K64" s="35" t="s">
        <v>19</v>
      </c>
      <c r="L64" s="47"/>
      <c r="M64" s="35" t="str">
        <f t="shared" si="1"/>
        <v>No encaja</v>
      </c>
    </row>
    <row r="65" spans="1:13" ht="25.5" customHeight="1" x14ac:dyDescent="0.25">
      <c r="A65" s="22">
        <v>8</v>
      </c>
      <c r="B65" s="23" t="s">
        <v>127</v>
      </c>
      <c r="C65" s="23" t="s">
        <v>24</v>
      </c>
      <c r="D65" s="27" t="s">
        <v>19</v>
      </c>
      <c r="E65" s="28" t="s">
        <v>19</v>
      </c>
      <c r="F65" s="29" t="s">
        <v>25</v>
      </c>
      <c r="G65" s="26"/>
      <c r="H65" s="23"/>
      <c r="I65" s="35" t="s">
        <v>19</v>
      </c>
      <c r="J65" s="35" t="s">
        <v>19</v>
      </c>
      <c r="K65" s="35" t="s">
        <v>19</v>
      </c>
      <c r="L65" s="47"/>
      <c r="M65" s="35" t="str">
        <f t="shared" si="1"/>
        <v>No encaja</v>
      </c>
    </row>
    <row r="66" spans="1:13" ht="25.5" customHeight="1" x14ac:dyDescent="0.25">
      <c r="A66" s="22">
        <v>8</v>
      </c>
      <c r="B66" s="23" t="s">
        <v>128</v>
      </c>
      <c r="C66" s="23" t="s">
        <v>59</v>
      </c>
      <c r="D66" s="27" t="s">
        <v>19</v>
      </c>
      <c r="E66" s="28" t="s">
        <v>19</v>
      </c>
      <c r="F66" s="29" t="s">
        <v>25</v>
      </c>
      <c r="G66" s="26" t="s">
        <v>60</v>
      </c>
      <c r="H66" s="23"/>
      <c r="I66" s="35" t="s">
        <v>19</v>
      </c>
      <c r="J66" s="35" t="s">
        <v>19</v>
      </c>
      <c r="K66" s="35" t="s">
        <v>19</v>
      </c>
      <c r="L66" s="47"/>
      <c r="M66" s="35" t="str">
        <f t="shared" si="1"/>
        <v>No encaja</v>
      </c>
    </row>
  </sheetData>
  <conditionalFormatting sqref="M3:M66">
    <cfRule type="cellIs" dxfId="2" priority="1" operator="equal">
      <formula>"Encaje perfecto"</formula>
    </cfRule>
    <cfRule type="cellIs" dxfId="1" priority="2" operator="equal">
      <formula>"Encaje parcial"</formula>
    </cfRule>
    <cfRule type="cellIs" dxfId="0" priority="3" operator="equal">
      <formula>"No encaja"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Resumen</vt:lpstr>
      <vt:lpstr>Catálogo CompanyGame</vt:lpstr>
      <vt:lpstr>Catálogo otros SNC</vt:lpstr>
      <vt:lpstr>Adm. Empresas (Presencial)</vt:lpstr>
      <vt:lpstr>Adm. Empresas (Virtual)</vt:lpstr>
      <vt:lpstr>Adm. Producción y Logística</vt:lpstr>
      <vt:lpstr>Adm. Negocios Sostenibles</vt:lpstr>
      <vt:lpstr>Contaduría Pública</vt:lpstr>
      <vt:lpstr>Economía</vt:lpstr>
      <vt:lpstr>Finanzas</vt:lpstr>
      <vt:lpstr>Marketing y Transf. Digital</vt:lpstr>
      <vt:lpstr>Negocios Internac. (Presenc.)</vt:lpstr>
      <vt:lpstr>Negocios Internac. (Virtual)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Gonzalez</cp:lastModifiedBy>
  <cp:revision>0</cp:revision>
  <dcterms:created xsi:type="dcterms:W3CDTF">2026-10-01T15:33:45Z</dcterms:created>
  <dcterms:modified xsi:type="dcterms:W3CDTF">2026-10-02T15:07:31Z</dcterms:modified>
  <dc:language>en-US</dc:language>
</cp:coreProperties>
</file>